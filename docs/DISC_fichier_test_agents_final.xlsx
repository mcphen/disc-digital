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wanej\Downloads\"/>
    </mc:Choice>
  </mc:AlternateContent>
  <xr:revisionPtr revIDLastSave="0" documentId="8_{031E542A-ADE7-4A58-B529-BC25715F64BB}" xr6:coauthVersionLast="47" xr6:coauthVersionMax="47" xr10:uidLastSave="{00000000-0000-0000-0000-000000000000}"/>
  <bookViews>
    <workbookView xWindow="-98" yWindow="-98" windowWidth="19396" windowHeight="11475" tabRatio="500" xr2:uid="{00000000-000D-0000-FFFF-FFFF00000000}"/>
  </bookViews>
  <sheets>
    <sheet name="Suivi Courrier" sheetId="1" r:id="rId1"/>
    <sheet name="Paramètres" sheetId="2" r:id="rId2"/>
  </sheets>
  <definedNames>
    <definedName name="_xlnm._FilterDatabase" localSheetId="0" hidden="1">'Suivi Courrier'!$A$16:$W$729</definedName>
  </definedNames>
  <calcPr calcId="181029"/>
  <extLst>
    <ext xmlns:loext="http://schemas.libreoffice.org/" uri="{7626C862-2A13-11E5-B345-FEFF819CDC9F}">
      <loext:extCalcPr stringRefSyntax="ExcelA1"/>
    </ext>
  </extLst>
</workbook>
</file>

<file path=xl/calcChain.xml><?xml version="1.0" encoding="utf-8"?>
<calcChain xmlns="http://schemas.openxmlformats.org/spreadsheetml/2006/main">
  <c r="E7" i="2" l="1"/>
  <c r="E6" i="2"/>
  <c r="W729" i="1"/>
  <c r="U729" i="1"/>
  <c r="S729" i="1"/>
  <c r="R729" i="1"/>
  <c r="P729" i="1"/>
  <c r="H729" i="1"/>
  <c r="W728" i="1"/>
  <c r="U728" i="1"/>
  <c r="S728" i="1"/>
  <c r="R728" i="1"/>
  <c r="P728" i="1"/>
  <c r="H728" i="1"/>
  <c r="W727" i="1"/>
  <c r="U727" i="1"/>
  <c r="S727" i="1"/>
  <c r="R727" i="1"/>
  <c r="P727" i="1"/>
  <c r="H727" i="1"/>
  <c r="W726" i="1"/>
  <c r="U726" i="1"/>
  <c r="S726" i="1"/>
  <c r="R726" i="1"/>
  <c r="P726" i="1"/>
  <c r="H726" i="1"/>
  <c r="W725" i="1"/>
  <c r="V725" i="1"/>
  <c r="U725" i="1"/>
  <c r="S725" i="1"/>
  <c r="R725" i="1"/>
  <c r="Q725" i="1"/>
  <c r="P725" i="1"/>
  <c r="H725" i="1"/>
  <c r="W724" i="1"/>
  <c r="U724" i="1"/>
  <c r="S724" i="1"/>
  <c r="R724" i="1"/>
  <c r="P724" i="1"/>
  <c r="H724" i="1"/>
  <c r="W723" i="1"/>
  <c r="V723" i="1"/>
  <c r="U723" i="1"/>
  <c r="S723" i="1"/>
  <c r="R723" i="1"/>
  <c r="Q723" i="1"/>
  <c r="P723" i="1"/>
  <c r="H723" i="1"/>
  <c r="W722" i="1"/>
  <c r="U722" i="1"/>
  <c r="S722" i="1"/>
  <c r="R722" i="1"/>
  <c r="P722" i="1"/>
  <c r="H722" i="1"/>
  <c r="W721" i="1"/>
  <c r="U721" i="1"/>
  <c r="S721" i="1"/>
  <c r="R721" i="1"/>
  <c r="P721" i="1"/>
  <c r="H721" i="1"/>
  <c r="W720" i="1"/>
  <c r="U720" i="1"/>
  <c r="S720" i="1"/>
  <c r="R720" i="1"/>
  <c r="P720" i="1"/>
  <c r="H720" i="1"/>
  <c r="W719" i="1"/>
  <c r="U719" i="1"/>
  <c r="S719" i="1"/>
  <c r="R719" i="1"/>
  <c r="P719" i="1"/>
  <c r="H719" i="1"/>
  <c r="U718" i="1"/>
  <c r="S718" i="1"/>
  <c r="R718" i="1"/>
  <c r="Q718" i="1"/>
  <c r="P718" i="1"/>
  <c r="H718" i="1"/>
  <c r="V718" i="1" s="1"/>
  <c r="W718" i="1" s="1"/>
  <c r="W717" i="1"/>
  <c r="U717" i="1"/>
  <c r="S717" i="1"/>
  <c r="R717" i="1"/>
  <c r="P717" i="1"/>
  <c r="H717" i="1"/>
  <c r="W716" i="1"/>
  <c r="U716" i="1"/>
  <c r="S716" i="1"/>
  <c r="R716" i="1"/>
  <c r="P716" i="1"/>
  <c r="H716" i="1"/>
  <c r="W715" i="1"/>
  <c r="U715" i="1"/>
  <c r="S715" i="1"/>
  <c r="R715" i="1"/>
  <c r="P715" i="1"/>
  <c r="H715" i="1"/>
  <c r="W714" i="1"/>
  <c r="V714" i="1"/>
  <c r="U714" i="1"/>
  <c r="S714" i="1"/>
  <c r="R714" i="1"/>
  <c r="Q714" i="1"/>
  <c r="P714" i="1"/>
  <c r="H714" i="1"/>
  <c r="W713" i="1"/>
  <c r="U713" i="1"/>
  <c r="S713" i="1"/>
  <c r="R713" i="1"/>
  <c r="Q713" i="1"/>
  <c r="P713" i="1"/>
  <c r="H713" i="1"/>
  <c r="V713" i="1" s="1"/>
  <c r="W712" i="1"/>
  <c r="U712" i="1"/>
  <c r="R712" i="1"/>
  <c r="S712" i="1" s="1"/>
  <c r="Q712" i="1"/>
  <c r="P712" i="1"/>
  <c r="H712" i="1"/>
  <c r="V712" i="1" s="1"/>
  <c r="W711" i="1"/>
  <c r="V711" i="1"/>
  <c r="U711" i="1"/>
  <c r="S711" i="1"/>
  <c r="R711" i="1"/>
  <c r="Q711" i="1"/>
  <c r="P711" i="1"/>
  <c r="H711" i="1"/>
  <c r="W710" i="1"/>
  <c r="V710" i="1"/>
  <c r="U710" i="1"/>
  <c r="S710" i="1"/>
  <c r="R710" i="1"/>
  <c r="Q710" i="1"/>
  <c r="P710" i="1"/>
  <c r="H710" i="1"/>
  <c r="W709" i="1"/>
  <c r="U709" i="1"/>
  <c r="S709" i="1"/>
  <c r="R709" i="1"/>
  <c r="P709" i="1"/>
  <c r="H709" i="1"/>
  <c r="W708" i="1"/>
  <c r="U708" i="1"/>
  <c r="S708" i="1"/>
  <c r="R708" i="1"/>
  <c r="P708" i="1"/>
  <c r="H708" i="1"/>
  <c r="W707" i="1"/>
  <c r="V707" i="1"/>
  <c r="U707" i="1"/>
  <c r="S707" i="1"/>
  <c r="R707" i="1"/>
  <c r="Q707" i="1"/>
  <c r="P707" i="1"/>
  <c r="H707" i="1"/>
  <c r="W706" i="1"/>
  <c r="U706" i="1"/>
  <c r="R706" i="1"/>
  <c r="S706" i="1" s="1"/>
  <c r="Q706" i="1"/>
  <c r="P706" i="1"/>
  <c r="H706" i="1"/>
  <c r="V706" i="1" s="1"/>
  <c r="W705" i="1"/>
  <c r="U705" i="1"/>
  <c r="R705" i="1"/>
  <c r="S705" i="1" s="1"/>
  <c r="Q705" i="1"/>
  <c r="P705" i="1"/>
  <c r="H705" i="1"/>
  <c r="V705" i="1" s="1"/>
  <c r="W704" i="1"/>
  <c r="V704" i="1"/>
  <c r="U704" i="1"/>
  <c r="S704" i="1"/>
  <c r="R704" i="1"/>
  <c r="Q704" i="1"/>
  <c r="P704" i="1"/>
  <c r="H704" i="1"/>
  <c r="U703" i="1"/>
  <c r="S703" i="1"/>
  <c r="R703" i="1"/>
  <c r="Q703" i="1"/>
  <c r="P703" i="1"/>
  <c r="H703" i="1"/>
  <c r="V703" i="1" s="1"/>
  <c r="W703" i="1" s="1"/>
  <c r="U702" i="1"/>
  <c r="S702" i="1"/>
  <c r="R702" i="1"/>
  <c r="Q702" i="1"/>
  <c r="P702" i="1"/>
  <c r="H702" i="1"/>
  <c r="V702" i="1" s="1"/>
  <c r="W702" i="1" s="1"/>
  <c r="W701" i="1"/>
  <c r="U701" i="1"/>
  <c r="R701" i="1"/>
  <c r="S701" i="1" s="1"/>
  <c r="Q701" i="1"/>
  <c r="P701" i="1"/>
  <c r="H701" i="1"/>
  <c r="V701" i="1" s="1"/>
  <c r="W700" i="1"/>
  <c r="V700" i="1"/>
  <c r="U700" i="1"/>
  <c r="S700" i="1"/>
  <c r="R700" i="1"/>
  <c r="Q700" i="1"/>
  <c r="P700" i="1"/>
  <c r="H700" i="1"/>
  <c r="W699" i="1"/>
  <c r="V699" i="1"/>
  <c r="U699" i="1"/>
  <c r="S699" i="1"/>
  <c r="R699" i="1"/>
  <c r="Q699" i="1"/>
  <c r="P699" i="1"/>
  <c r="H699" i="1"/>
  <c r="U698" i="1"/>
  <c r="S698" i="1"/>
  <c r="R698" i="1"/>
  <c r="Q698" i="1"/>
  <c r="P698" i="1"/>
  <c r="H698" i="1"/>
  <c r="V698" i="1" s="1"/>
  <c r="W698" i="1" s="1"/>
  <c r="W697" i="1"/>
  <c r="U697" i="1"/>
  <c r="S697" i="1"/>
  <c r="R697" i="1"/>
  <c r="P697" i="1"/>
  <c r="H697" i="1"/>
  <c r="U696" i="1"/>
  <c r="S696" i="1"/>
  <c r="R696" i="1"/>
  <c r="Q696" i="1"/>
  <c r="P696" i="1"/>
  <c r="H696" i="1"/>
  <c r="V696" i="1" s="1"/>
  <c r="W696" i="1" s="1"/>
  <c r="W695" i="1"/>
  <c r="U695" i="1"/>
  <c r="R695" i="1"/>
  <c r="S695" i="1" s="1"/>
  <c r="Q695" i="1"/>
  <c r="P695" i="1"/>
  <c r="H695" i="1"/>
  <c r="V695" i="1" s="1"/>
  <c r="U694" i="1"/>
  <c r="S694" i="1"/>
  <c r="R694" i="1"/>
  <c r="Q694" i="1"/>
  <c r="P694" i="1"/>
  <c r="H694" i="1"/>
  <c r="V694" i="1" s="1"/>
  <c r="W694" i="1" s="1"/>
  <c r="W693" i="1"/>
  <c r="U693" i="1"/>
  <c r="S693" i="1"/>
  <c r="R693" i="1"/>
  <c r="P693" i="1"/>
  <c r="H693" i="1"/>
  <c r="W692" i="1"/>
  <c r="V692" i="1"/>
  <c r="U692" i="1"/>
  <c r="S692" i="1"/>
  <c r="R692" i="1"/>
  <c r="Q692" i="1"/>
  <c r="P692" i="1"/>
  <c r="H692" i="1"/>
  <c r="W691" i="1"/>
  <c r="U691" i="1"/>
  <c r="S691" i="1"/>
  <c r="R691" i="1"/>
  <c r="P691" i="1"/>
  <c r="H691" i="1"/>
  <c r="W690" i="1"/>
  <c r="U690" i="1"/>
  <c r="S690" i="1"/>
  <c r="R690" i="1"/>
  <c r="P690" i="1"/>
  <c r="H690" i="1"/>
  <c r="W689" i="1"/>
  <c r="U689" i="1"/>
  <c r="S689" i="1"/>
  <c r="R689" i="1"/>
  <c r="P689" i="1"/>
  <c r="H689" i="1"/>
  <c r="W688" i="1"/>
  <c r="U688" i="1"/>
  <c r="S688" i="1"/>
  <c r="R688" i="1"/>
  <c r="P688" i="1"/>
  <c r="H688" i="1"/>
  <c r="U687" i="1"/>
  <c r="S687" i="1"/>
  <c r="R687" i="1"/>
  <c r="Q687" i="1"/>
  <c r="P687" i="1"/>
  <c r="H687" i="1"/>
  <c r="V687" i="1" s="1"/>
  <c r="W687" i="1" s="1"/>
  <c r="W686" i="1"/>
  <c r="V686" i="1"/>
  <c r="U686" i="1"/>
  <c r="S686" i="1"/>
  <c r="R686" i="1"/>
  <c r="Q686" i="1"/>
  <c r="P686" i="1"/>
  <c r="H686" i="1"/>
  <c r="U685" i="1"/>
  <c r="S685" i="1"/>
  <c r="R685" i="1"/>
  <c r="Q685" i="1"/>
  <c r="P685" i="1"/>
  <c r="H685" i="1"/>
  <c r="V685" i="1" s="1"/>
  <c r="W685" i="1" s="1"/>
  <c r="W684" i="1"/>
  <c r="V684" i="1"/>
  <c r="U684" i="1"/>
  <c r="S684" i="1"/>
  <c r="R684" i="1"/>
  <c r="Q684" i="1"/>
  <c r="P684" i="1"/>
  <c r="H684" i="1"/>
  <c r="W683" i="1"/>
  <c r="V683" i="1"/>
  <c r="U683" i="1"/>
  <c r="S683" i="1"/>
  <c r="R683" i="1"/>
  <c r="Q683" i="1"/>
  <c r="P683" i="1"/>
  <c r="H683" i="1"/>
  <c r="U682" i="1"/>
  <c r="S682" i="1"/>
  <c r="R682" i="1"/>
  <c r="Q682" i="1"/>
  <c r="P682" i="1"/>
  <c r="H682" i="1"/>
  <c r="V682" i="1" s="1"/>
  <c r="W682" i="1" s="1"/>
  <c r="U681" i="1"/>
  <c r="S681" i="1"/>
  <c r="R681" i="1"/>
  <c r="Q681" i="1"/>
  <c r="P681" i="1"/>
  <c r="H681" i="1"/>
  <c r="V681" i="1" s="1"/>
  <c r="W681" i="1" s="1"/>
  <c r="U680" i="1"/>
  <c r="S680" i="1"/>
  <c r="R680" i="1"/>
  <c r="Q680" i="1"/>
  <c r="P680" i="1"/>
  <c r="H680" i="1"/>
  <c r="V680" i="1" s="1"/>
  <c r="W680" i="1" s="1"/>
  <c r="U679" i="1"/>
  <c r="S679" i="1"/>
  <c r="R679" i="1"/>
  <c r="Q679" i="1"/>
  <c r="P679" i="1"/>
  <c r="H679" i="1"/>
  <c r="V679" i="1" s="1"/>
  <c r="W679" i="1" s="1"/>
  <c r="U678" i="1"/>
  <c r="S678" i="1"/>
  <c r="R678" i="1"/>
  <c r="Q678" i="1"/>
  <c r="P678" i="1"/>
  <c r="H678" i="1"/>
  <c r="V678" i="1" s="1"/>
  <c r="W678" i="1" s="1"/>
  <c r="U677" i="1"/>
  <c r="S677" i="1"/>
  <c r="R677" i="1"/>
  <c r="Q677" i="1"/>
  <c r="P677" i="1"/>
  <c r="H677" i="1"/>
  <c r="V677" i="1" s="1"/>
  <c r="W677" i="1" s="1"/>
  <c r="U676" i="1"/>
  <c r="S676" i="1"/>
  <c r="R676" i="1"/>
  <c r="Q676" i="1"/>
  <c r="P676" i="1"/>
  <c r="H676" i="1"/>
  <c r="V676" i="1" s="1"/>
  <c r="W676" i="1" s="1"/>
  <c r="U675" i="1"/>
  <c r="S675" i="1"/>
  <c r="R675" i="1"/>
  <c r="Q675" i="1"/>
  <c r="P675" i="1"/>
  <c r="H675" i="1"/>
  <c r="V675" i="1" s="1"/>
  <c r="W675" i="1" s="1"/>
  <c r="W674" i="1"/>
  <c r="V674" i="1"/>
  <c r="U674" i="1"/>
  <c r="S674" i="1"/>
  <c r="R674" i="1"/>
  <c r="Q674" i="1"/>
  <c r="P674" i="1"/>
  <c r="H674" i="1"/>
  <c r="U673" i="1"/>
  <c r="S673" i="1"/>
  <c r="R673" i="1"/>
  <c r="Q673" i="1"/>
  <c r="P673" i="1"/>
  <c r="H673" i="1"/>
  <c r="V673" i="1" s="1"/>
  <c r="W673" i="1" s="1"/>
  <c r="U672" i="1"/>
  <c r="S672" i="1"/>
  <c r="R672" i="1"/>
  <c r="Q672" i="1"/>
  <c r="P672" i="1"/>
  <c r="H672" i="1"/>
  <c r="V672" i="1" s="1"/>
  <c r="W672" i="1" s="1"/>
  <c r="W671" i="1"/>
  <c r="U671" i="1"/>
  <c r="S671" i="1"/>
  <c r="R671" i="1"/>
  <c r="P671" i="1"/>
  <c r="H671" i="1"/>
  <c r="U670" i="1"/>
  <c r="S670" i="1"/>
  <c r="R670" i="1"/>
  <c r="Q670" i="1"/>
  <c r="P670" i="1"/>
  <c r="H670" i="1"/>
  <c r="V670" i="1" s="1"/>
  <c r="W670" i="1" s="1"/>
  <c r="U669" i="1"/>
  <c r="S669" i="1"/>
  <c r="R669" i="1"/>
  <c r="Q669" i="1"/>
  <c r="P669" i="1"/>
  <c r="H669" i="1"/>
  <c r="V669" i="1" s="1"/>
  <c r="W669" i="1" s="1"/>
  <c r="U668" i="1"/>
  <c r="S668" i="1"/>
  <c r="R668" i="1"/>
  <c r="Q668" i="1"/>
  <c r="P668" i="1"/>
  <c r="H668" i="1"/>
  <c r="V668" i="1" s="1"/>
  <c r="W668" i="1" s="1"/>
  <c r="U667" i="1"/>
  <c r="S667" i="1"/>
  <c r="R667" i="1"/>
  <c r="Q667" i="1"/>
  <c r="P667" i="1"/>
  <c r="H667" i="1"/>
  <c r="V667" i="1" s="1"/>
  <c r="W667" i="1" s="1"/>
  <c r="U666" i="1"/>
  <c r="S666" i="1"/>
  <c r="R666" i="1"/>
  <c r="Q666" i="1"/>
  <c r="P666" i="1"/>
  <c r="H666" i="1"/>
  <c r="V666" i="1" s="1"/>
  <c r="W666" i="1" s="1"/>
  <c r="U665" i="1"/>
  <c r="S665" i="1"/>
  <c r="R665" i="1"/>
  <c r="Q665" i="1"/>
  <c r="P665" i="1"/>
  <c r="H665" i="1"/>
  <c r="V665" i="1" s="1"/>
  <c r="W665" i="1" s="1"/>
  <c r="U664" i="1"/>
  <c r="S664" i="1"/>
  <c r="R664" i="1"/>
  <c r="Q664" i="1"/>
  <c r="P664" i="1"/>
  <c r="H664" i="1"/>
  <c r="V664" i="1" s="1"/>
  <c r="W664" i="1" s="1"/>
  <c r="U663" i="1"/>
  <c r="S663" i="1"/>
  <c r="R663" i="1"/>
  <c r="Q663" i="1"/>
  <c r="P663" i="1"/>
  <c r="H663" i="1"/>
  <c r="V663" i="1" s="1"/>
  <c r="W663" i="1" s="1"/>
  <c r="U662" i="1"/>
  <c r="S662" i="1"/>
  <c r="R662" i="1"/>
  <c r="Q662" i="1"/>
  <c r="P662" i="1"/>
  <c r="H662" i="1"/>
  <c r="V662" i="1" s="1"/>
  <c r="W662" i="1" s="1"/>
  <c r="U661" i="1"/>
  <c r="S661" i="1"/>
  <c r="R661" i="1"/>
  <c r="Q661" i="1"/>
  <c r="P661" i="1"/>
  <c r="H661" i="1"/>
  <c r="V661" i="1" s="1"/>
  <c r="W661" i="1" s="1"/>
  <c r="U660" i="1"/>
  <c r="S660" i="1"/>
  <c r="R660" i="1"/>
  <c r="Q660" i="1"/>
  <c r="P660" i="1"/>
  <c r="H660" i="1"/>
  <c r="V660" i="1" s="1"/>
  <c r="W660" i="1" s="1"/>
  <c r="U659" i="1"/>
  <c r="S659" i="1"/>
  <c r="R659" i="1"/>
  <c r="Q659" i="1"/>
  <c r="P659" i="1"/>
  <c r="H659" i="1"/>
  <c r="V659" i="1" s="1"/>
  <c r="W659" i="1" s="1"/>
  <c r="U658" i="1"/>
  <c r="S658" i="1"/>
  <c r="R658" i="1"/>
  <c r="Q658" i="1"/>
  <c r="P658" i="1"/>
  <c r="H658" i="1"/>
  <c r="V658" i="1" s="1"/>
  <c r="W658" i="1" s="1"/>
  <c r="U657" i="1"/>
  <c r="S657" i="1"/>
  <c r="R657" i="1"/>
  <c r="Q657" i="1"/>
  <c r="P657" i="1"/>
  <c r="H657" i="1"/>
  <c r="V657" i="1" s="1"/>
  <c r="W657" i="1" s="1"/>
  <c r="U656" i="1"/>
  <c r="S656" i="1"/>
  <c r="R656" i="1"/>
  <c r="Q656" i="1"/>
  <c r="P656" i="1"/>
  <c r="H656" i="1"/>
  <c r="V656" i="1" s="1"/>
  <c r="W656" i="1" s="1"/>
  <c r="W655" i="1"/>
  <c r="V655" i="1"/>
  <c r="U655" i="1"/>
  <c r="S655" i="1"/>
  <c r="R655" i="1"/>
  <c r="Q655" i="1"/>
  <c r="P655" i="1"/>
  <c r="H655" i="1"/>
  <c r="U654" i="1"/>
  <c r="S654" i="1"/>
  <c r="R654" i="1"/>
  <c r="Q654" i="1"/>
  <c r="P654" i="1"/>
  <c r="H654" i="1"/>
  <c r="V654" i="1" s="1"/>
  <c r="W654" i="1" s="1"/>
  <c r="W653" i="1"/>
  <c r="V653" i="1"/>
  <c r="U653" i="1"/>
  <c r="S653" i="1"/>
  <c r="R653" i="1"/>
  <c r="Q653" i="1"/>
  <c r="P653" i="1"/>
  <c r="H653" i="1"/>
  <c r="U652" i="1"/>
  <c r="S652" i="1"/>
  <c r="R652" i="1"/>
  <c r="Q652" i="1"/>
  <c r="P652" i="1"/>
  <c r="H652" i="1"/>
  <c r="V652" i="1" s="1"/>
  <c r="W652" i="1" s="1"/>
  <c r="U651" i="1"/>
  <c r="S651" i="1"/>
  <c r="R651" i="1"/>
  <c r="Q651" i="1"/>
  <c r="P651" i="1"/>
  <c r="H651" i="1"/>
  <c r="V651" i="1" s="1"/>
  <c r="W651" i="1" s="1"/>
  <c r="U650" i="1"/>
  <c r="S650" i="1"/>
  <c r="R650" i="1"/>
  <c r="Q650" i="1"/>
  <c r="P650" i="1"/>
  <c r="H650" i="1"/>
  <c r="V650" i="1" s="1"/>
  <c r="W650" i="1" s="1"/>
  <c r="W649" i="1"/>
  <c r="U649" i="1"/>
  <c r="S649" i="1"/>
  <c r="R649" i="1"/>
  <c r="P649" i="1"/>
  <c r="H649" i="1"/>
  <c r="W648" i="1"/>
  <c r="V648" i="1"/>
  <c r="U648" i="1"/>
  <c r="S648" i="1"/>
  <c r="R648" i="1"/>
  <c r="Q648" i="1"/>
  <c r="P648" i="1"/>
  <c r="H648" i="1"/>
  <c r="W647" i="1"/>
  <c r="U647" i="1"/>
  <c r="S647" i="1"/>
  <c r="R647" i="1"/>
  <c r="P647" i="1"/>
  <c r="H647" i="1"/>
  <c r="U646" i="1"/>
  <c r="S646" i="1"/>
  <c r="R646" i="1"/>
  <c r="Q646" i="1"/>
  <c r="P646" i="1"/>
  <c r="H646" i="1"/>
  <c r="V646" i="1" s="1"/>
  <c r="W646" i="1" s="1"/>
  <c r="U645" i="1"/>
  <c r="S645" i="1"/>
  <c r="R645" i="1"/>
  <c r="Q645" i="1"/>
  <c r="P645" i="1"/>
  <c r="H645" i="1"/>
  <c r="V645" i="1" s="1"/>
  <c r="W645" i="1" s="1"/>
  <c r="U644" i="1"/>
  <c r="S644" i="1"/>
  <c r="R644" i="1"/>
  <c r="Q644" i="1"/>
  <c r="P644" i="1"/>
  <c r="H644" i="1"/>
  <c r="V644" i="1" s="1"/>
  <c r="W644" i="1" s="1"/>
  <c r="U643" i="1"/>
  <c r="S643" i="1"/>
  <c r="R643" i="1"/>
  <c r="Q643" i="1"/>
  <c r="P643" i="1"/>
  <c r="H643" i="1"/>
  <c r="V643" i="1" s="1"/>
  <c r="W643" i="1" s="1"/>
  <c r="U642" i="1"/>
  <c r="S642" i="1"/>
  <c r="R642" i="1"/>
  <c r="Q642" i="1"/>
  <c r="P642" i="1"/>
  <c r="H642" i="1"/>
  <c r="V642" i="1" s="1"/>
  <c r="W642" i="1" s="1"/>
  <c r="U641" i="1"/>
  <c r="S641" i="1"/>
  <c r="R641" i="1"/>
  <c r="Q641" i="1"/>
  <c r="P641" i="1"/>
  <c r="H641" i="1"/>
  <c r="V641" i="1" s="1"/>
  <c r="W641" i="1" s="1"/>
  <c r="U640" i="1"/>
  <c r="S640" i="1"/>
  <c r="R640" i="1"/>
  <c r="Q640" i="1"/>
  <c r="P640" i="1"/>
  <c r="H640" i="1"/>
  <c r="V640" i="1" s="1"/>
  <c r="W640" i="1" s="1"/>
  <c r="U639" i="1"/>
  <c r="S639" i="1"/>
  <c r="R639" i="1"/>
  <c r="Q639" i="1"/>
  <c r="P639" i="1"/>
  <c r="H639" i="1"/>
  <c r="V639" i="1" s="1"/>
  <c r="W639" i="1" s="1"/>
  <c r="U638" i="1"/>
  <c r="S638" i="1"/>
  <c r="R638" i="1"/>
  <c r="Q638" i="1"/>
  <c r="P638" i="1"/>
  <c r="H638" i="1"/>
  <c r="V638" i="1" s="1"/>
  <c r="W638" i="1" s="1"/>
  <c r="U637" i="1"/>
  <c r="S637" i="1"/>
  <c r="R637" i="1"/>
  <c r="Q637" i="1"/>
  <c r="P637" i="1"/>
  <c r="H637" i="1"/>
  <c r="V637" i="1" s="1"/>
  <c r="W637" i="1" s="1"/>
  <c r="U636" i="1"/>
  <c r="S636" i="1"/>
  <c r="R636" i="1"/>
  <c r="Q636" i="1"/>
  <c r="P636" i="1"/>
  <c r="H636" i="1"/>
  <c r="V636" i="1" s="1"/>
  <c r="W636" i="1" s="1"/>
  <c r="U635" i="1"/>
  <c r="S635" i="1"/>
  <c r="R635" i="1"/>
  <c r="Q635" i="1"/>
  <c r="P635" i="1"/>
  <c r="H635" i="1"/>
  <c r="V635" i="1" s="1"/>
  <c r="W635" i="1" s="1"/>
  <c r="U634" i="1"/>
  <c r="S634" i="1"/>
  <c r="R634" i="1"/>
  <c r="Q634" i="1"/>
  <c r="P634" i="1"/>
  <c r="H634" i="1"/>
  <c r="V634" i="1" s="1"/>
  <c r="W634" i="1" s="1"/>
  <c r="U633" i="1"/>
  <c r="S633" i="1"/>
  <c r="R633" i="1"/>
  <c r="Q633" i="1"/>
  <c r="P633" i="1"/>
  <c r="H633" i="1"/>
  <c r="V633" i="1" s="1"/>
  <c r="W633" i="1" s="1"/>
  <c r="W632" i="1"/>
  <c r="V632" i="1"/>
  <c r="U632" i="1"/>
  <c r="S632" i="1"/>
  <c r="R632" i="1"/>
  <c r="Q632" i="1"/>
  <c r="P632" i="1"/>
  <c r="H632" i="1"/>
  <c r="W631" i="1"/>
  <c r="V631" i="1"/>
  <c r="U631" i="1"/>
  <c r="S631" i="1"/>
  <c r="R631" i="1"/>
  <c r="Q631" i="1"/>
  <c r="P631" i="1"/>
  <c r="H631" i="1"/>
  <c r="U630" i="1"/>
  <c r="S630" i="1"/>
  <c r="R630" i="1"/>
  <c r="Q630" i="1"/>
  <c r="P630" i="1"/>
  <c r="H630" i="1"/>
  <c r="V630" i="1" s="1"/>
  <c r="W630" i="1" s="1"/>
  <c r="W629" i="1"/>
  <c r="V629" i="1"/>
  <c r="U629" i="1"/>
  <c r="S629" i="1"/>
  <c r="R629" i="1"/>
  <c r="Q629" i="1"/>
  <c r="P629" i="1"/>
  <c r="H629" i="1"/>
  <c r="U628" i="1"/>
  <c r="S628" i="1"/>
  <c r="R628" i="1"/>
  <c r="Q628" i="1"/>
  <c r="P628" i="1"/>
  <c r="H628" i="1"/>
  <c r="V628" i="1" s="1"/>
  <c r="W628" i="1" s="1"/>
  <c r="U627" i="1"/>
  <c r="S627" i="1"/>
  <c r="R627" i="1"/>
  <c r="Q627" i="1"/>
  <c r="P627" i="1"/>
  <c r="H627" i="1"/>
  <c r="V627" i="1" s="1"/>
  <c r="W627" i="1" s="1"/>
  <c r="U626" i="1"/>
  <c r="S626" i="1"/>
  <c r="R626" i="1"/>
  <c r="Q626" i="1"/>
  <c r="P626" i="1"/>
  <c r="H626" i="1"/>
  <c r="V626" i="1" s="1"/>
  <c r="W626" i="1" s="1"/>
  <c r="U625" i="1"/>
  <c r="S625" i="1"/>
  <c r="R625" i="1"/>
  <c r="Q625" i="1"/>
  <c r="P625" i="1"/>
  <c r="H625" i="1"/>
  <c r="V625" i="1" s="1"/>
  <c r="W625" i="1" s="1"/>
  <c r="U624" i="1"/>
  <c r="S624" i="1"/>
  <c r="R624" i="1"/>
  <c r="Q624" i="1"/>
  <c r="P624" i="1"/>
  <c r="H624" i="1"/>
  <c r="V624" i="1" s="1"/>
  <c r="W624" i="1" s="1"/>
  <c r="U623" i="1"/>
  <c r="S623" i="1"/>
  <c r="R623" i="1"/>
  <c r="Q623" i="1"/>
  <c r="P623" i="1"/>
  <c r="H623" i="1"/>
  <c r="V623" i="1" s="1"/>
  <c r="W623" i="1" s="1"/>
  <c r="U622" i="1"/>
  <c r="S622" i="1"/>
  <c r="R622" i="1"/>
  <c r="Q622" i="1"/>
  <c r="P622" i="1"/>
  <c r="H622" i="1"/>
  <c r="V622" i="1" s="1"/>
  <c r="W622" i="1" s="1"/>
  <c r="U621" i="1"/>
  <c r="S621" i="1"/>
  <c r="R621" i="1"/>
  <c r="Q621" i="1"/>
  <c r="P621" i="1"/>
  <c r="H621" i="1"/>
  <c r="V621" i="1" s="1"/>
  <c r="W621" i="1" s="1"/>
  <c r="U620" i="1"/>
  <c r="S620" i="1"/>
  <c r="R620" i="1"/>
  <c r="Q620" i="1"/>
  <c r="P620" i="1"/>
  <c r="H620" i="1"/>
  <c r="V620" i="1" s="1"/>
  <c r="W620" i="1" s="1"/>
  <c r="U619" i="1"/>
  <c r="S619" i="1"/>
  <c r="R619" i="1"/>
  <c r="Q619" i="1"/>
  <c r="P619" i="1"/>
  <c r="H619" i="1"/>
  <c r="V619" i="1" s="1"/>
  <c r="W619" i="1" s="1"/>
  <c r="W618" i="1"/>
  <c r="V618" i="1"/>
  <c r="U618" i="1"/>
  <c r="S618" i="1"/>
  <c r="R618" i="1"/>
  <c r="Q618" i="1"/>
  <c r="P618" i="1"/>
  <c r="H618" i="1"/>
  <c r="U617" i="1"/>
  <c r="S617" i="1"/>
  <c r="R617" i="1"/>
  <c r="Q617" i="1"/>
  <c r="P617" i="1"/>
  <c r="H617" i="1"/>
  <c r="V617" i="1" s="1"/>
  <c r="W617" i="1" s="1"/>
  <c r="U616" i="1"/>
  <c r="S616" i="1"/>
  <c r="R616" i="1"/>
  <c r="Q616" i="1"/>
  <c r="P616" i="1"/>
  <c r="H616" i="1"/>
  <c r="V616" i="1" s="1"/>
  <c r="W616" i="1" s="1"/>
  <c r="U615" i="1"/>
  <c r="S615" i="1"/>
  <c r="R615" i="1"/>
  <c r="Q615" i="1"/>
  <c r="P615" i="1"/>
  <c r="H615" i="1"/>
  <c r="V615" i="1" s="1"/>
  <c r="W615" i="1" s="1"/>
  <c r="U614" i="1"/>
  <c r="S614" i="1"/>
  <c r="R614" i="1"/>
  <c r="Q614" i="1"/>
  <c r="P614" i="1"/>
  <c r="H614" i="1"/>
  <c r="V614" i="1" s="1"/>
  <c r="W614" i="1" s="1"/>
  <c r="U613" i="1"/>
  <c r="S613" i="1"/>
  <c r="R613" i="1"/>
  <c r="Q613" i="1"/>
  <c r="P613" i="1"/>
  <c r="H613" i="1"/>
  <c r="V613" i="1" s="1"/>
  <c r="W613" i="1" s="1"/>
  <c r="U612" i="1"/>
  <c r="S612" i="1"/>
  <c r="R612" i="1"/>
  <c r="Q612" i="1"/>
  <c r="P612" i="1"/>
  <c r="H612" i="1"/>
  <c r="V612" i="1" s="1"/>
  <c r="W612" i="1" s="1"/>
  <c r="U611" i="1"/>
  <c r="S611" i="1"/>
  <c r="R611" i="1"/>
  <c r="Q611" i="1"/>
  <c r="P611" i="1"/>
  <c r="H611" i="1"/>
  <c r="V611" i="1" s="1"/>
  <c r="W611" i="1" s="1"/>
  <c r="U610" i="1"/>
  <c r="S610" i="1"/>
  <c r="R610" i="1"/>
  <c r="Q610" i="1"/>
  <c r="P610" i="1"/>
  <c r="H610" i="1"/>
  <c r="V610" i="1" s="1"/>
  <c r="W610" i="1" s="1"/>
  <c r="U609" i="1"/>
  <c r="S609" i="1"/>
  <c r="R609" i="1"/>
  <c r="Q609" i="1"/>
  <c r="P609" i="1"/>
  <c r="H609" i="1"/>
  <c r="V609" i="1" s="1"/>
  <c r="W609" i="1" s="1"/>
  <c r="U608" i="1"/>
  <c r="S608" i="1"/>
  <c r="R608" i="1"/>
  <c r="Q608" i="1"/>
  <c r="P608" i="1"/>
  <c r="H608" i="1"/>
  <c r="V608" i="1" s="1"/>
  <c r="W608" i="1" s="1"/>
  <c r="W607" i="1"/>
  <c r="V607" i="1"/>
  <c r="U607" i="1"/>
  <c r="S607" i="1"/>
  <c r="R607" i="1"/>
  <c r="Q607" i="1"/>
  <c r="P607" i="1"/>
  <c r="H607" i="1"/>
  <c r="W606" i="1"/>
  <c r="V606" i="1"/>
  <c r="U606" i="1"/>
  <c r="S606" i="1"/>
  <c r="R606" i="1"/>
  <c r="Q606" i="1"/>
  <c r="P606" i="1"/>
  <c r="H606" i="1"/>
  <c r="U605" i="1"/>
  <c r="S605" i="1"/>
  <c r="R605" i="1"/>
  <c r="Q605" i="1"/>
  <c r="P605" i="1"/>
  <c r="H605" i="1"/>
  <c r="V605" i="1" s="1"/>
  <c r="W605" i="1" s="1"/>
  <c r="U604" i="1"/>
  <c r="S604" i="1"/>
  <c r="R604" i="1"/>
  <c r="Q604" i="1"/>
  <c r="P604" i="1"/>
  <c r="H604" i="1"/>
  <c r="V604" i="1" s="1"/>
  <c r="W604" i="1" s="1"/>
  <c r="W603" i="1"/>
  <c r="V603" i="1"/>
  <c r="U603" i="1"/>
  <c r="S603" i="1"/>
  <c r="R603" i="1"/>
  <c r="Q603" i="1"/>
  <c r="P603" i="1"/>
  <c r="H603" i="1"/>
  <c r="W602" i="1"/>
  <c r="V602" i="1"/>
  <c r="U602" i="1"/>
  <c r="S602" i="1"/>
  <c r="R602" i="1"/>
  <c r="Q602" i="1"/>
  <c r="P602" i="1"/>
  <c r="H602" i="1"/>
  <c r="W601" i="1"/>
  <c r="V601" i="1"/>
  <c r="U601" i="1"/>
  <c r="S601" i="1"/>
  <c r="R601" i="1"/>
  <c r="Q601" i="1"/>
  <c r="P601" i="1"/>
  <c r="H601" i="1"/>
  <c r="U600" i="1"/>
  <c r="S600" i="1"/>
  <c r="R600" i="1"/>
  <c r="Q600" i="1"/>
  <c r="P600" i="1"/>
  <c r="H600" i="1"/>
  <c r="V600" i="1" s="1"/>
  <c r="W600" i="1" s="1"/>
  <c r="U599" i="1"/>
  <c r="S599" i="1"/>
  <c r="R599" i="1"/>
  <c r="Q599" i="1"/>
  <c r="P599" i="1"/>
  <c r="H599" i="1"/>
  <c r="V599" i="1" s="1"/>
  <c r="W599" i="1" s="1"/>
  <c r="W598" i="1"/>
  <c r="U598" i="1"/>
  <c r="S598" i="1"/>
  <c r="R598" i="1"/>
  <c r="P598" i="1"/>
  <c r="H598" i="1"/>
  <c r="U597" i="1"/>
  <c r="S597" i="1"/>
  <c r="R597" i="1"/>
  <c r="Q597" i="1"/>
  <c r="P597" i="1"/>
  <c r="H597" i="1"/>
  <c r="V597" i="1" s="1"/>
  <c r="W597" i="1" s="1"/>
  <c r="W596" i="1"/>
  <c r="V596" i="1"/>
  <c r="U596" i="1"/>
  <c r="S596" i="1"/>
  <c r="R596" i="1"/>
  <c r="Q596" i="1"/>
  <c r="P596" i="1"/>
  <c r="H596" i="1"/>
  <c r="U595" i="1"/>
  <c r="S595" i="1"/>
  <c r="R595" i="1"/>
  <c r="Q595" i="1"/>
  <c r="P595" i="1"/>
  <c r="H595" i="1"/>
  <c r="V595" i="1" s="1"/>
  <c r="W595" i="1" s="1"/>
  <c r="U594" i="1"/>
  <c r="S594" i="1"/>
  <c r="R594" i="1"/>
  <c r="Q594" i="1"/>
  <c r="P594" i="1"/>
  <c r="H594" i="1"/>
  <c r="V594" i="1" s="1"/>
  <c r="W594" i="1" s="1"/>
  <c r="W593" i="1"/>
  <c r="V593" i="1"/>
  <c r="U593" i="1"/>
  <c r="S593" i="1"/>
  <c r="R593" i="1"/>
  <c r="Q593" i="1"/>
  <c r="P593" i="1"/>
  <c r="H593" i="1"/>
  <c r="U592" i="1"/>
  <c r="S592" i="1"/>
  <c r="R592" i="1"/>
  <c r="Q592" i="1"/>
  <c r="P592" i="1"/>
  <c r="H592" i="1"/>
  <c r="V592" i="1" s="1"/>
  <c r="W592" i="1" s="1"/>
  <c r="U591" i="1"/>
  <c r="S591" i="1"/>
  <c r="R591" i="1"/>
  <c r="Q591" i="1"/>
  <c r="P591" i="1"/>
  <c r="H591" i="1"/>
  <c r="V591" i="1" s="1"/>
  <c r="W591" i="1" s="1"/>
  <c r="W590" i="1"/>
  <c r="U590" i="1"/>
  <c r="S590" i="1"/>
  <c r="R590" i="1"/>
  <c r="P590" i="1"/>
  <c r="H590" i="1"/>
  <c r="U589" i="1"/>
  <c r="S589" i="1"/>
  <c r="R589" i="1"/>
  <c r="Q589" i="1"/>
  <c r="P589" i="1"/>
  <c r="H589" i="1"/>
  <c r="V589" i="1" s="1"/>
  <c r="W589" i="1" s="1"/>
  <c r="U588" i="1"/>
  <c r="S588" i="1"/>
  <c r="R588" i="1"/>
  <c r="Q588" i="1"/>
  <c r="P588" i="1"/>
  <c r="H588" i="1"/>
  <c r="V588" i="1" s="1"/>
  <c r="W588" i="1" s="1"/>
  <c r="U587" i="1"/>
  <c r="S587" i="1"/>
  <c r="R587" i="1"/>
  <c r="Q587" i="1"/>
  <c r="P587" i="1"/>
  <c r="H587" i="1"/>
  <c r="V587" i="1" s="1"/>
  <c r="W587" i="1" s="1"/>
  <c r="W586" i="1"/>
  <c r="V586" i="1"/>
  <c r="U586" i="1"/>
  <c r="S586" i="1"/>
  <c r="R586" i="1"/>
  <c r="Q586" i="1"/>
  <c r="P586" i="1"/>
  <c r="H586" i="1"/>
  <c r="U585" i="1"/>
  <c r="S585" i="1"/>
  <c r="R585" i="1"/>
  <c r="Q585" i="1"/>
  <c r="P585" i="1"/>
  <c r="H585" i="1"/>
  <c r="V585" i="1" s="1"/>
  <c r="W585" i="1" s="1"/>
  <c r="W584" i="1"/>
  <c r="V584" i="1"/>
  <c r="U584" i="1"/>
  <c r="S584" i="1"/>
  <c r="R584" i="1"/>
  <c r="Q584" i="1"/>
  <c r="P584" i="1"/>
  <c r="H584" i="1"/>
  <c r="U583" i="1"/>
  <c r="S583" i="1"/>
  <c r="R583" i="1"/>
  <c r="Q583" i="1"/>
  <c r="P583" i="1"/>
  <c r="H583" i="1"/>
  <c r="V583" i="1" s="1"/>
  <c r="W583" i="1" s="1"/>
  <c r="U582" i="1"/>
  <c r="S582" i="1"/>
  <c r="R582" i="1"/>
  <c r="Q582" i="1"/>
  <c r="P582" i="1"/>
  <c r="H582" i="1"/>
  <c r="V582" i="1" s="1"/>
  <c r="W582" i="1" s="1"/>
  <c r="U581" i="1"/>
  <c r="S581" i="1"/>
  <c r="R581" i="1"/>
  <c r="Q581" i="1"/>
  <c r="P581" i="1"/>
  <c r="H581" i="1"/>
  <c r="V581" i="1" s="1"/>
  <c r="W581" i="1" s="1"/>
  <c r="W580" i="1"/>
  <c r="V580" i="1"/>
  <c r="U580" i="1"/>
  <c r="S580" i="1"/>
  <c r="R580" i="1"/>
  <c r="Q580" i="1"/>
  <c r="P580" i="1"/>
  <c r="H580" i="1"/>
  <c r="W579" i="1"/>
  <c r="V579" i="1"/>
  <c r="U579" i="1"/>
  <c r="S579" i="1"/>
  <c r="R579" i="1"/>
  <c r="Q579" i="1"/>
  <c r="P579" i="1"/>
  <c r="H579" i="1"/>
  <c r="U578" i="1"/>
  <c r="S578" i="1"/>
  <c r="R578" i="1"/>
  <c r="Q578" i="1"/>
  <c r="P578" i="1"/>
  <c r="H578" i="1"/>
  <c r="V578" i="1" s="1"/>
  <c r="W578" i="1" s="1"/>
  <c r="U577" i="1"/>
  <c r="S577" i="1"/>
  <c r="R577" i="1"/>
  <c r="Q577" i="1"/>
  <c r="P577" i="1"/>
  <c r="H577" i="1"/>
  <c r="V577" i="1" s="1"/>
  <c r="W577" i="1" s="1"/>
  <c r="W576" i="1"/>
  <c r="U576" i="1"/>
  <c r="S576" i="1"/>
  <c r="R576" i="1"/>
  <c r="P576" i="1"/>
  <c r="H576" i="1"/>
  <c r="U575" i="1"/>
  <c r="S575" i="1"/>
  <c r="R575" i="1"/>
  <c r="Q575" i="1"/>
  <c r="P575" i="1"/>
  <c r="H575" i="1"/>
  <c r="V575" i="1" s="1"/>
  <c r="W575" i="1" s="1"/>
  <c r="U574" i="1"/>
  <c r="S574" i="1"/>
  <c r="R574" i="1"/>
  <c r="Q574" i="1"/>
  <c r="P574" i="1"/>
  <c r="H574" i="1"/>
  <c r="V574" i="1" s="1"/>
  <c r="W574" i="1" s="1"/>
  <c r="U573" i="1"/>
  <c r="S573" i="1"/>
  <c r="R573" i="1"/>
  <c r="Q573" i="1"/>
  <c r="P573" i="1"/>
  <c r="H573" i="1"/>
  <c r="V573" i="1" s="1"/>
  <c r="W573" i="1" s="1"/>
  <c r="U572" i="1"/>
  <c r="S572" i="1"/>
  <c r="R572" i="1"/>
  <c r="Q572" i="1"/>
  <c r="P572" i="1"/>
  <c r="H572" i="1"/>
  <c r="V572" i="1" s="1"/>
  <c r="W572" i="1" s="1"/>
  <c r="W571" i="1"/>
  <c r="V571" i="1"/>
  <c r="U571" i="1"/>
  <c r="S571" i="1"/>
  <c r="R571" i="1"/>
  <c r="Q571" i="1"/>
  <c r="P571" i="1"/>
  <c r="H571" i="1"/>
  <c r="U570" i="1"/>
  <c r="S570" i="1"/>
  <c r="R570" i="1"/>
  <c r="Q570" i="1"/>
  <c r="P570" i="1"/>
  <c r="H570" i="1"/>
  <c r="V570" i="1" s="1"/>
  <c r="W570" i="1" s="1"/>
  <c r="W569" i="1"/>
  <c r="V569" i="1"/>
  <c r="U569" i="1"/>
  <c r="S569" i="1"/>
  <c r="R569" i="1"/>
  <c r="Q569" i="1"/>
  <c r="P569" i="1"/>
  <c r="H569" i="1"/>
  <c r="U568" i="1"/>
  <c r="S568" i="1"/>
  <c r="R568" i="1"/>
  <c r="Q568" i="1"/>
  <c r="P568" i="1"/>
  <c r="H568" i="1"/>
  <c r="V568" i="1" s="1"/>
  <c r="W568" i="1" s="1"/>
  <c r="U567" i="1"/>
  <c r="S567" i="1"/>
  <c r="R567" i="1"/>
  <c r="Q567" i="1"/>
  <c r="P567" i="1"/>
  <c r="H567" i="1"/>
  <c r="V567" i="1" s="1"/>
  <c r="W567" i="1" s="1"/>
  <c r="U566" i="1"/>
  <c r="S566" i="1"/>
  <c r="R566" i="1"/>
  <c r="Q566" i="1"/>
  <c r="P566" i="1"/>
  <c r="H566" i="1"/>
  <c r="V566" i="1" s="1"/>
  <c r="W566" i="1" s="1"/>
  <c r="U565" i="1"/>
  <c r="S565" i="1"/>
  <c r="R565" i="1"/>
  <c r="Q565" i="1"/>
  <c r="P565" i="1"/>
  <c r="H565" i="1"/>
  <c r="V565" i="1" s="1"/>
  <c r="W565" i="1" s="1"/>
  <c r="U564" i="1"/>
  <c r="S564" i="1"/>
  <c r="R564" i="1"/>
  <c r="V564" i="1" s="1"/>
  <c r="W564" i="1" s="1"/>
  <c r="Q564" i="1"/>
  <c r="P564" i="1"/>
  <c r="H564" i="1"/>
  <c r="W563" i="1"/>
  <c r="U563" i="1"/>
  <c r="S563" i="1"/>
  <c r="R563" i="1"/>
  <c r="P563" i="1"/>
  <c r="H563" i="1"/>
  <c r="U562" i="1"/>
  <c r="S562" i="1"/>
  <c r="R562" i="1"/>
  <c r="Q562" i="1"/>
  <c r="P562" i="1"/>
  <c r="H562" i="1"/>
  <c r="V562" i="1" s="1"/>
  <c r="W562" i="1" s="1"/>
  <c r="U561" i="1"/>
  <c r="S561" i="1"/>
  <c r="R561" i="1"/>
  <c r="Q561" i="1"/>
  <c r="P561" i="1"/>
  <c r="H561" i="1"/>
  <c r="V561" i="1" s="1"/>
  <c r="W561" i="1" s="1"/>
  <c r="U560" i="1"/>
  <c r="S560" i="1"/>
  <c r="R560" i="1"/>
  <c r="Q560" i="1"/>
  <c r="P560" i="1"/>
  <c r="H560" i="1"/>
  <c r="V560" i="1" s="1"/>
  <c r="W560" i="1" s="1"/>
  <c r="U559" i="1"/>
  <c r="S559" i="1"/>
  <c r="R559" i="1"/>
  <c r="Q559" i="1"/>
  <c r="P559" i="1"/>
  <c r="H559" i="1"/>
  <c r="V559" i="1" s="1"/>
  <c r="W559" i="1" s="1"/>
  <c r="U558" i="1"/>
  <c r="S558" i="1"/>
  <c r="R558" i="1"/>
  <c r="Q558" i="1"/>
  <c r="P558" i="1"/>
  <c r="H558" i="1"/>
  <c r="V558" i="1" s="1"/>
  <c r="W558" i="1" s="1"/>
  <c r="W557" i="1"/>
  <c r="V557" i="1"/>
  <c r="U557" i="1"/>
  <c r="S557" i="1"/>
  <c r="R557" i="1"/>
  <c r="Q557" i="1"/>
  <c r="P557" i="1"/>
  <c r="H557" i="1"/>
  <c r="U556" i="1"/>
  <c r="S556" i="1"/>
  <c r="R556" i="1"/>
  <c r="Q556" i="1"/>
  <c r="P556" i="1"/>
  <c r="H556" i="1"/>
  <c r="V556" i="1" s="1"/>
  <c r="W556" i="1" s="1"/>
  <c r="U555" i="1"/>
  <c r="S555" i="1"/>
  <c r="R555" i="1"/>
  <c r="Q555" i="1"/>
  <c r="P555" i="1"/>
  <c r="H555" i="1"/>
  <c r="V555" i="1" s="1"/>
  <c r="W555" i="1" s="1"/>
  <c r="W554" i="1"/>
  <c r="V554" i="1"/>
  <c r="U554" i="1"/>
  <c r="S554" i="1"/>
  <c r="R554" i="1"/>
  <c r="Q554" i="1"/>
  <c r="P554" i="1"/>
  <c r="H554" i="1"/>
  <c r="U553" i="1"/>
  <c r="S553" i="1"/>
  <c r="R553" i="1"/>
  <c r="Q553" i="1"/>
  <c r="P553" i="1"/>
  <c r="H553" i="1"/>
  <c r="V553" i="1" s="1"/>
  <c r="W553" i="1" s="1"/>
  <c r="U552" i="1"/>
  <c r="S552" i="1"/>
  <c r="R552" i="1"/>
  <c r="Q552" i="1"/>
  <c r="P552" i="1"/>
  <c r="H552" i="1"/>
  <c r="V552" i="1" s="1"/>
  <c r="W552" i="1" s="1"/>
  <c r="U551" i="1"/>
  <c r="S551" i="1"/>
  <c r="R551" i="1"/>
  <c r="Q551" i="1"/>
  <c r="P551" i="1"/>
  <c r="H551" i="1"/>
  <c r="V551" i="1" s="1"/>
  <c r="W551" i="1" s="1"/>
  <c r="U550" i="1"/>
  <c r="S550" i="1"/>
  <c r="R550" i="1"/>
  <c r="Q550" i="1"/>
  <c r="P550" i="1"/>
  <c r="H550" i="1"/>
  <c r="V550" i="1" s="1"/>
  <c r="W550" i="1" s="1"/>
  <c r="W549" i="1"/>
  <c r="V549" i="1"/>
  <c r="U549" i="1"/>
  <c r="S549" i="1"/>
  <c r="R549" i="1"/>
  <c r="Q549" i="1"/>
  <c r="P549" i="1"/>
  <c r="H549" i="1"/>
  <c r="W548" i="1"/>
  <c r="V548" i="1"/>
  <c r="U548" i="1"/>
  <c r="S548" i="1"/>
  <c r="R548" i="1"/>
  <c r="Q548" i="1"/>
  <c r="P548" i="1"/>
  <c r="H548" i="1"/>
  <c r="U547" i="1"/>
  <c r="S547" i="1"/>
  <c r="R547" i="1"/>
  <c r="Q547" i="1"/>
  <c r="P547" i="1"/>
  <c r="H547" i="1"/>
  <c r="V547" i="1" s="1"/>
  <c r="W547" i="1" s="1"/>
  <c r="U546" i="1"/>
  <c r="S546" i="1"/>
  <c r="R546" i="1"/>
  <c r="Q546" i="1"/>
  <c r="P546" i="1"/>
  <c r="H546" i="1"/>
  <c r="V546" i="1" s="1"/>
  <c r="W546" i="1" s="1"/>
  <c r="W545" i="1"/>
  <c r="V545" i="1"/>
  <c r="U545" i="1"/>
  <c r="S545" i="1"/>
  <c r="R545" i="1"/>
  <c r="Q545" i="1"/>
  <c r="P545" i="1"/>
  <c r="H545" i="1"/>
  <c r="U544" i="1"/>
  <c r="S544" i="1"/>
  <c r="R544" i="1"/>
  <c r="Q544" i="1"/>
  <c r="P544" i="1"/>
  <c r="H544" i="1"/>
  <c r="V544" i="1" s="1"/>
  <c r="W544" i="1" s="1"/>
  <c r="W543" i="1"/>
  <c r="V543" i="1"/>
  <c r="U543" i="1"/>
  <c r="S543" i="1"/>
  <c r="R543" i="1"/>
  <c r="Q543" i="1"/>
  <c r="P543" i="1"/>
  <c r="H543" i="1"/>
  <c r="U542" i="1"/>
  <c r="S542" i="1"/>
  <c r="R542" i="1"/>
  <c r="Q542" i="1"/>
  <c r="P542" i="1"/>
  <c r="H542" i="1"/>
  <c r="V542" i="1" s="1"/>
  <c r="W542" i="1" s="1"/>
  <c r="U541" i="1"/>
  <c r="S541" i="1"/>
  <c r="R541" i="1"/>
  <c r="Q541" i="1"/>
  <c r="P541" i="1"/>
  <c r="H541" i="1"/>
  <c r="V541" i="1" s="1"/>
  <c r="W541" i="1" s="1"/>
  <c r="U540" i="1"/>
  <c r="S540" i="1"/>
  <c r="R540" i="1"/>
  <c r="Q540" i="1"/>
  <c r="P540" i="1"/>
  <c r="H540" i="1"/>
  <c r="V540" i="1" s="1"/>
  <c r="W540" i="1" s="1"/>
  <c r="U539" i="1"/>
  <c r="S539" i="1"/>
  <c r="R539" i="1"/>
  <c r="Q539" i="1"/>
  <c r="P539" i="1"/>
  <c r="H539" i="1"/>
  <c r="V539" i="1" s="1"/>
  <c r="W539" i="1" s="1"/>
  <c r="U538" i="1"/>
  <c r="S538" i="1"/>
  <c r="R538" i="1"/>
  <c r="Q538" i="1"/>
  <c r="P538" i="1"/>
  <c r="H538" i="1"/>
  <c r="V538" i="1" s="1"/>
  <c r="W538" i="1" s="1"/>
  <c r="U537" i="1"/>
  <c r="S537" i="1"/>
  <c r="R537" i="1"/>
  <c r="Q537" i="1"/>
  <c r="P537" i="1"/>
  <c r="H537" i="1"/>
  <c r="V537" i="1" s="1"/>
  <c r="W537" i="1" s="1"/>
  <c r="U536" i="1"/>
  <c r="S536" i="1"/>
  <c r="R536" i="1"/>
  <c r="Q536" i="1"/>
  <c r="P536" i="1"/>
  <c r="H536" i="1"/>
  <c r="V536" i="1" s="1"/>
  <c r="W536" i="1" s="1"/>
  <c r="U535" i="1"/>
  <c r="S535" i="1"/>
  <c r="R535" i="1"/>
  <c r="Q535" i="1"/>
  <c r="P535" i="1"/>
  <c r="H535" i="1"/>
  <c r="V535" i="1" s="1"/>
  <c r="W535" i="1" s="1"/>
  <c r="W534" i="1"/>
  <c r="V534" i="1"/>
  <c r="U534" i="1"/>
  <c r="S534" i="1"/>
  <c r="R534" i="1"/>
  <c r="Q534" i="1"/>
  <c r="P534" i="1"/>
  <c r="H534" i="1"/>
  <c r="U533" i="1"/>
  <c r="S533" i="1"/>
  <c r="R533" i="1"/>
  <c r="Q533" i="1"/>
  <c r="P533" i="1"/>
  <c r="H533" i="1"/>
  <c r="V533" i="1" s="1"/>
  <c r="W533" i="1" s="1"/>
  <c r="U532" i="1"/>
  <c r="S532" i="1"/>
  <c r="R532" i="1"/>
  <c r="Q532" i="1"/>
  <c r="P532" i="1"/>
  <c r="H532" i="1"/>
  <c r="V532" i="1" s="1"/>
  <c r="W532" i="1" s="1"/>
  <c r="U531" i="1"/>
  <c r="S531" i="1"/>
  <c r="R531" i="1"/>
  <c r="Q531" i="1"/>
  <c r="P531" i="1"/>
  <c r="H531" i="1"/>
  <c r="V531" i="1" s="1"/>
  <c r="W531" i="1" s="1"/>
  <c r="W530" i="1"/>
  <c r="V530" i="1"/>
  <c r="U530" i="1"/>
  <c r="S530" i="1"/>
  <c r="R530" i="1"/>
  <c r="Q530" i="1"/>
  <c r="P530" i="1"/>
  <c r="H530" i="1"/>
  <c r="U529" i="1"/>
  <c r="S529" i="1"/>
  <c r="R529" i="1"/>
  <c r="Q529" i="1"/>
  <c r="P529" i="1"/>
  <c r="H529" i="1"/>
  <c r="V529" i="1" s="1"/>
  <c r="W529" i="1" s="1"/>
  <c r="U528" i="1"/>
  <c r="S528" i="1"/>
  <c r="R528" i="1"/>
  <c r="Q528" i="1"/>
  <c r="P528" i="1"/>
  <c r="H528" i="1"/>
  <c r="V528" i="1" s="1"/>
  <c r="W528" i="1" s="1"/>
  <c r="U527" i="1"/>
  <c r="S527" i="1"/>
  <c r="R527" i="1"/>
  <c r="Q527" i="1"/>
  <c r="P527" i="1"/>
  <c r="H527" i="1"/>
  <c r="V527" i="1" s="1"/>
  <c r="W527" i="1" s="1"/>
  <c r="W526" i="1"/>
  <c r="V526" i="1"/>
  <c r="U526" i="1"/>
  <c r="S526" i="1"/>
  <c r="R526" i="1"/>
  <c r="Q526" i="1"/>
  <c r="P526" i="1"/>
  <c r="H526" i="1"/>
  <c r="U525" i="1"/>
  <c r="S525" i="1"/>
  <c r="R525" i="1"/>
  <c r="Q525" i="1"/>
  <c r="P525" i="1"/>
  <c r="H525" i="1"/>
  <c r="V525" i="1" s="1"/>
  <c r="W525" i="1" s="1"/>
  <c r="U524" i="1"/>
  <c r="S524" i="1"/>
  <c r="R524" i="1"/>
  <c r="Q524" i="1"/>
  <c r="P524" i="1"/>
  <c r="H524" i="1"/>
  <c r="V524" i="1" s="1"/>
  <c r="W524" i="1" s="1"/>
  <c r="W523" i="1"/>
  <c r="V523" i="1"/>
  <c r="U523" i="1"/>
  <c r="S523" i="1"/>
  <c r="R523" i="1"/>
  <c r="Q523" i="1"/>
  <c r="P523" i="1"/>
  <c r="H523" i="1"/>
  <c r="U522" i="1"/>
  <c r="S522" i="1"/>
  <c r="R522" i="1"/>
  <c r="Q522" i="1"/>
  <c r="P522" i="1"/>
  <c r="H522" i="1"/>
  <c r="V522" i="1" s="1"/>
  <c r="W522" i="1" s="1"/>
  <c r="U521" i="1"/>
  <c r="S521" i="1"/>
  <c r="R521" i="1"/>
  <c r="Q521" i="1"/>
  <c r="P521" i="1"/>
  <c r="H521" i="1"/>
  <c r="V521" i="1" s="1"/>
  <c r="W521" i="1" s="1"/>
  <c r="U520" i="1"/>
  <c r="S520" i="1"/>
  <c r="R520" i="1"/>
  <c r="Q520" i="1"/>
  <c r="P520" i="1"/>
  <c r="H520" i="1"/>
  <c r="V520" i="1" s="1"/>
  <c r="W520" i="1" s="1"/>
  <c r="U519" i="1"/>
  <c r="S519" i="1"/>
  <c r="R519" i="1"/>
  <c r="Q519" i="1"/>
  <c r="P519" i="1"/>
  <c r="H519" i="1"/>
  <c r="V519" i="1" s="1"/>
  <c r="W519" i="1" s="1"/>
  <c r="U518" i="1"/>
  <c r="S518" i="1"/>
  <c r="R518" i="1"/>
  <c r="Q518" i="1"/>
  <c r="P518" i="1"/>
  <c r="H518" i="1"/>
  <c r="V518" i="1" s="1"/>
  <c r="W518" i="1" s="1"/>
  <c r="U517" i="1"/>
  <c r="S517" i="1"/>
  <c r="R517" i="1"/>
  <c r="Q517" i="1"/>
  <c r="P517" i="1"/>
  <c r="H517" i="1"/>
  <c r="V517" i="1" s="1"/>
  <c r="W517" i="1" s="1"/>
  <c r="U516" i="1"/>
  <c r="S516" i="1"/>
  <c r="R516" i="1"/>
  <c r="Q516" i="1"/>
  <c r="P516" i="1"/>
  <c r="H516" i="1"/>
  <c r="V516" i="1" s="1"/>
  <c r="W516" i="1" s="1"/>
  <c r="U515" i="1"/>
  <c r="S515" i="1"/>
  <c r="R515" i="1"/>
  <c r="Q515" i="1"/>
  <c r="P515" i="1"/>
  <c r="H515" i="1"/>
  <c r="V515" i="1" s="1"/>
  <c r="W515" i="1" s="1"/>
  <c r="W514" i="1"/>
  <c r="V514" i="1"/>
  <c r="U514" i="1"/>
  <c r="S514" i="1"/>
  <c r="R514" i="1"/>
  <c r="Q514" i="1"/>
  <c r="P514" i="1"/>
  <c r="H514" i="1"/>
  <c r="U513" i="1"/>
  <c r="S513" i="1"/>
  <c r="R513" i="1"/>
  <c r="Q513" i="1"/>
  <c r="P513" i="1"/>
  <c r="H513" i="1"/>
  <c r="V513" i="1" s="1"/>
  <c r="W513" i="1" s="1"/>
  <c r="U512" i="1"/>
  <c r="S512" i="1"/>
  <c r="R512" i="1"/>
  <c r="Q512" i="1"/>
  <c r="P512" i="1"/>
  <c r="H512" i="1"/>
  <c r="V512" i="1" s="1"/>
  <c r="W512" i="1" s="1"/>
  <c r="U511" i="1"/>
  <c r="S511" i="1"/>
  <c r="R511" i="1"/>
  <c r="Q511" i="1"/>
  <c r="P511" i="1"/>
  <c r="H511" i="1"/>
  <c r="V511" i="1" s="1"/>
  <c r="W511" i="1" s="1"/>
  <c r="U510" i="1"/>
  <c r="S510" i="1"/>
  <c r="R510" i="1"/>
  <c r="Q510" i="1"/>
  <c r="P510" i="1"/>
  <c r="H510" i="1"/>
  <c r="V510" i="1" s="1"/>
  <c r="W510" i="1" s="1"/>
  <c r="U509" i="1"/>
  <c r="S509" i="1"/>
  <c r="R509" i="1"/>
  <c r="Q509" i="1"/>
  <c r="P509" i="1"/>
  <c r="H509" i="1"/>
  <c r="V509" i="1" s="1"/>
  <c r="W509" i="1" s="1"/>
  <c r="U508" i="1"/>
  <c r="S508" i="1"/>
  <c r="R508" i="1"/>
  <c r="Q508" i="1"/>
  <c r="P508" i="1"/>
  <c r="H508" i="1"/>
  <c r="V508" i="1" s="1"/>
  <c r="W508" i="1" s="1"/>
  <c r="U507" i="1"/>
  <c r="S507" i="1"/>
  <c r="R507" i="1"/>
  <c r="Q507" i="1"/>
  <c r="P507" i="1"/>
  <c r="H507" i="1"/>
  <c r="V507" i="1" s="1"/>
  <c r="W507" i="1" s="1"/>
  <c r="U506" i="1"/>
  <c r="S506" i="1"/>
  <c r="R506" i="1"/>
  <c r="Q506" i="1"/>
  <c r="P506" i="1"/>
  <c r="H506" i="1"/>
  <c r="V506" i="1" s="1"/>
  <c r="W506" i="1" s="1"/>
  <c r="U505" i="1"/>
  <c r="S505" i="1"/>
  <c r="R505" i="1"/>
  <c r="Q505" i="1"/>
  <c r="P505" i="1"/>
  <c r="H505" i="1"/>
  <c r="V505" i="1" s="1"/>
  <c r="W505" i="1" s="1"/>
  <c r="U504" i="1"/>
  <c r="S504" i="1"/>
  <c r="R504" i="1"/>
  <c r="Q504" i="1"/>
  <c r="P504" i="1"/>
  <c r="H504" i="1"/>
  <c r="V504" i="1" s="1"/>
  <c r="W504" i="1" s="1"/>
  <c r="U503" i="1"/>
  <c r="S503" i="1"/>
  <c r="R503" i="1"/>
  <c r="Q503" i="1"/>
  <c r="P503" i="1"/>
  <c r="H503" i="1"/>
  <c r="V503" i="1" s="1"/>
  <c r="W503" i="1" s="1"/>
  <c r="U502" i="1"/>
  <c r="S502" i="1"/>
  <c r="R502" i="1"/>
  <c r="Q502" i="1"/>
  <c r="P502" i="1"/>
  <c r="H502" i="1"/>
  <c r="V502" i="1" s="1"/>
  <c r="W502" i="1" s="1"/>
  <c r="U501" i="1"/>
  <c r="S501" i="1"/>
  <c r="R501" i="1"/>
  <c r="Q501" i="1"/>
  <c r="P501" i="1"/>
  <c r="H501" i="1"/>
  <c r="V501" i="1" s="1"/>
  <c r="W501" i="1" s="1"/>
  <c r="W500" i="1"/>
  <c r="V500" i="1"/>
  <c r="U500" i="1"/>
  <c r="S500" i="1"/>
  <c r="R500" i="1"/>
  <c r="Q500" i="1"/>
  <c r="P500" i="1"/>
  <c r="H500" i="1"/>
  <c r="U499" i="1"/>
  <c r="S499" i="1"/>
  <c r="R499" i="1"/>
  <c r="Q499" i="1"/>
  <c r="P499" i="1"/>
  <c r="H499" i="1"/>
  <c r="V499" i="1" s="1"/>
  <c r="W499" i="1" s="1"/>
  <c r="W498" i="1"/>
  <c r="V498" i="1"/>
  <c r="U498" i="1"/>
  <c r="S498" i="1"/>
  <c r="R498" i="1"/>
  <c r="Q498" i="1"/>
  <c r="P498" i="1"/>
  <c r="H498" i="1"/>
  <c r="U497" i="1"/>
  <c r="S497" i="1"/>
  <c r="R497" i="1"/>
  <c r="Q497" i="1"/>
  <c r="P497" i="1"/>
  <c r="H497" i="1"/>
  <c r="V497" i="1" s="1"/>
  <c r="W497" i="1" s="1"/>
  <c r="U496" i="1"/>
  <c r="S496" i="1"/>
  <c r="R496" i="1"/>
  <c r="Q496" i="1"/>
  <c r="P496" i="1"/>
  <c r="H496" i="1"/>
  <c r="V496" i="1" s="1"/>
  <c r="W496" i="1" s="1"/>
  <c r="W495" i="1"/>
  <c r="V495" i="1"/>
  <c r="U495" i="1"/>
  <c r="S495" i="1"/>
  <c r="R495" i="1"/>
  <c r="Q495" i="1"/>
  <c r="P495" i="1"/>
  <c r="H495" i="1"/>
  <c r="U494" i="1"/>
  <c r="S494" i="1"/>
  <c r="R494" i="1"/>
  <c r="Q494" i="1"/>
  <c r="P494" i="1"/>
  <c r="H494" i="1"/>
  <c r="V494" i="1" s="1"/>
  <c r="W494" i="1" s="1"/>
  <c r="W493" i="1"/>
  <c r="U493" i="1"/>
  <c r="S493" i="1"/>
  <c r="R493" i="1"/>
  <c r="P493" i="1"/>
  <c r="H493" i="1"/>
  <c r="U492" i="1"/>
  <c r="S492" i="1"/>
  <c r="R492" i="1"/>
  <c r="Q492" i="1"/>
  <c r="P492" i="1"/>
  <c r="H492" i="1"/>
  <c r="V492" i="1" s="1"/>
  <c r="W492" i="1" s="1"/>
  <c r="W491" i="1"/>
  <c r="V491" i="1"/>
  <c r="U491" i="1"/>
  <c r="S491" i="1"/>
  <c r="R491" i="1"/>
  <c r="Q491" i="1"/>
  <c r="P491" i="1"/>
  <c r="H491" i="1"/>
  <c r="U490" i="1"/>
  <c r="S490" i="1"/>
  <c r="R490" i="1"/>
  <c r="Q490" i="1"/>
  <c r="P490" i="1"/>
  <c r="H490" i="1"/>
  <c r="V490" i="1" s="1"/>
  <c r="W490" i="1" s="1"/>
  <c r="U489" i="1"/>
  <c r="S489" i="1"/>
  <c r="R489" i="1"/>
  <c r="Q489" i="1"/>
  <c r="P489" i="1"/>
  <c r="H489" i="1"/>
  <c r="V489" i="1" s="1"/>
  <c r="W489" i="1" s="1"/>
  <c r="U488" i="1"/>
  <c r="S488" i="1"/>
  <c r="R488" i="1"/>
  <c r="Q488" i="1"/>
  <c r="P488" i="1"/>
  <c r="H488" i="1"/>
  <c r="V488" i="1" s="1"/>
  <c r="W488" i="1" s="1"/>
  <c r="U487" i="1"/>
  <c r="S487" i="1"/>
  <c r="R487" i="1"/>
  <c r="Q487" i="1"/>
  <c r="P487" i="1"/>
  <c r="H487" i="1"/>
  <c r="V487" i="1" s="1"/>
  <c r="W487" i="1" s="1"/>
  <c r="U486" i="1"/>
  <c r="S486" i="1"/>
  <c r="R486" i="1"/>
  <c r="Q486" i="1"/>
  <c r="P486" i="1"/>
  <c r="H486" i="1"/>
  <c r="V486" i="1" s="1"/>
  <c r="W486" i="1" s="1"/>
  <c r="W485" i="1"/>
  <c r="V485" i="1"/>
  <c r="U485" i="1"/>
  <c r="S485" i="1"/>
  <c r="R485" i="1"/>
  <c r="Q485" i="1"/>
  <c r="P485" i="1"/>
  <c r="H485" i="1"/>
  <c r="U484" i="1"/>
  <c r="S484" i="1"/>
  <c r="R484" i="1"/>
  <c r="Q484" i="1"/>
  <c r="P484" i="1"/>
  <c r="H484" i="1"/>
  <c r="V484" i="1" s="1"/>
  <c r="W484" i="1" s="1"/>
  <c r="U483" i="1"/>
  <c r="S483" i="1"/>
  <c r="R483" i="1"/>
  <c r="Q483" i="1"/>
  <c r="P483" i="1"/>
  <c r="H483" i="1"/>
  <c r="V483" i="1" s="1"/>
  <c r="W483" i="1" s="1"/>
  <c r="W482" i="1"/>
  <c r="V482" i="1"/>
  <c r="U482" i="1"/>
  <c r="S482" i="1"/>
  <c r="R482" i="1"/>
  <c r="Q482" i="1"/>
  <c r="P482" i="1"/>
  <c r="H482" i="1"/>
  <c r="U481" i="1"/>
  <c r="S481" i="1"/>
  <c r="R481" i="1"/>
  <c r="Q481" i="1"/>
  <c r="P481" i="1"/>
  <c r="H481" i="1"/>
  <c r="V481" i="1" s="1"/>
  <c r="W481" i="1" s="1"/>
  <c r="W480" i="1"/>
  <c r="V480" i="1"/>
  <c r="U480" i="1"/>
  <c r="S480" i="1"/>
  <c r="R480" i="1"/>
  <c r="Q480" i="1"/>
  <c r="P480" i="1"/>
  <c r="H480" i="1"/>
  <c r="U479" i="1"/>
  <c r="S479" i="1"/>
  <c r="R479" i="1"/>
  <c r="Q479" i="1"/>
  <c r="P479" i="1"/>
  <c r="H479" i="1"/>
  <c r="V479" i="1" s="1"/>
  <c r="W479" i="1" s="1"/>
  <c r="U478" i="1"/>
  <c r="S478" i="1"/>
  <c r="R478" i="1"/>
  <c r="Q478" i="1"/>
  <c r="P478" i="1"/>
  <c r="H478" i="1"/>
  <c r="V478" i="1" s="1"/>
  <c r="W478" i="1" s="1"/>
  <c r="U477" i="1"/>
  <c r="S477" i="1"/>
  <c r="R477" i="1"/>
  <c r="Q477" i="1"/>
  <c r="P477" i="1"/>
  <c r="H477" i="1"/>
  <c r="V477" i="1" s="1"/>
  <c r="W477" i="1" s="1"/>
  <c r="U476" i="1"/>
  <c r="S476" i="1"/>
  <c r="R476" i="1"/>
  <c r="Q476" i="1"/>
  <c r="P476" i="1"/>
  <c r="H476" i="1"/>
  <c r="V476" i="1" s="1"/>
  <c r="W476" i="1" s="1"/>
  <c r="U475" i="1"/>
  <c r="S475" i="1"/>
  <c r="R475" i="1"/>
  <c r="Q475" i="1"/>
  <c r="P475" i="1"/>
  <c r="H475" i="1"/>
  <c r="V475" i="1" s="1"/>
  <c r="W475" i="1" s="1"/>
  <c r="U474" i="1"/>
  <c r="S474" i="1"/>
  <c r="R474" i="1"/>
  <c r="Q474" i="1"/>
  <c r="P474" i="1"/>
  <c r="H474" i="1"/>
  <c r="V474" i="1" s="1"/>
  <c r="W474" i="1" s="1"/>
  <c r="U473" i="1"/>
  <c r="S473" i="1"/>
  <c r="R473" i="1"/>
  <c r="Q473" i="1"/>
  <c r="P473" i="1"/>
  <c r="H473" i="1"/>
  <c r="V473" i="1" s="1"/>
  <c r="W473" i="1" s="1"/>
  <c r="U472" i="1"/>
  <c r="S472" i="1"/>
  <c r="R472" i="1"/>
  <c r="Q472" i="1"/>
  <c r="P472" i="1"/>
  <c r="H472" i="1"/>
  <c r="V472" i="1" s="1"/>
  <c r="W472" i="1" s="1"/>
  <c r="W471" i="1"/>
  <c r="V471" i="1"/>
  <c r="U471" i="1"/>
  <c r="S471" i="1"/>
  <c r="R471" i="1"/>
  <c r="Q471" i="1"/>
  <c r="P471" i="1"/>
  <c r="H471" i="1"/>
  <c r="U470" i="1"/>
  <c r="S470" i="1"/>
  <c r="R470" i="1"/>
  <c r="Q470" i="1"/>
  <c r="P470" i="1"/>
  <c r="H470" i="1"/>
  <c r="V470" i="1" s="1"/>
  <c r="W470" i="1" s="1"/>
  <c r="U469" i="1"/>
  <c r="S469" i="1"/>
  <c r="R469" i="1"/>
  <c r="Q469" i="1"/>
  <c r="P469" i="1"/>
  <c r="H469" i="1"/>
  <c r="V469" i="1" s="1"/>
  <c r="W469" i="1" s="1"/>
  <c r="W468" i="1"/>
  <c r="V468" i="1"/>
  <c r="U468" i="1"/>
  <c r="S468" i="1"/>
  <c r="R468" i="1"/>
  <c r="Q468" i="1"/>
  <c r="P468" i="1"/>
  <c r="H468" i="1"/>
  <c r="U467" i="1"/>
  <c r="S467" i="1"/>
  <c r="R467" i="1"/>
  <c r="Q467" i="1"/>
  <c r="P467" i="1"/>
  <c r="H467" i="1"/>
  <c r="V467" i="1" s="1"/>
  <c r="W467" i="1" s="1"/>
  <c r="U466" i="1"/>
  <c r="S466" i="1"/>
  <c r="R466" i="1"/>
  <c r="Q466" i="1"/>
  <c r="P466" i="1"/>
  <c r="H466" i="1"/>
  <c r="V466" i="1" s="1"/>
  <c r="W466" i="1" s="1"/>
  <c r="U465" i="1"/>
  <c r="S465" i="1"/>
  <c r="R465" i="1"/>
  <c r="Q465" i="1"/>
  <c r="P465" i="1"/>
  <c r="H465" i="1"/>
  <c r="V465" i="1" s="1"/>
  <c r="W465" i="1" s="1"/>
  <c r="U464" i="1"/>
  <c r="S464" i="1"/>
  <c r="R464" i="1"/>
  <c r="Q464" i="1"/>
  <c r="P464" i="1"/>
  <c r="H464" i="1"/>
  <c r="V464" i="1" s="1"/>
  <c r="W464" i="1" s="1"/>
  <c r="U463" i="1"/>
  <c r="S463" i="1"/>
  <c r="R463" i="1"/>
  <c r="Q463" i="1"/>
  <c r="P463" i="1"/>
  <c r="H463" i="1"/>
  <c r="V463" i="1" s="1"/>
  <c r="W463" i="1" s="1"/>
  <c r="U462" i="1"/>
  <c r="S462" i="1"/>
  <c r="R462" i="1"/>
  <c r="Q462" i="1"/>
  <c r="P462" i="1"/>
  <c r="H462" i="1"/>
  <c r="V462" i="1" s="1"/>
  <c r="W462" i="1" s="1"/>
  <c r="U461" i="1"/>
  <c r="S461" i="1"/>
  <c r="R461" i="1"/>
  <c r="Q461" i="1"/>
  <c r="P461" i="1"/>
  <c r="H461" i="1"/>
  <c r="V461" i="1" s="1"/>
  <c r="W461" i="1" s="1"/>
  <c r="W460" i="1"/>
  <c r="V460" i="1"/>
  <c r="U460" i="1"/>
  <c r="S460" i="1"/>
  <c r="R460" i="1"/>
  <c r="Q460" i="1"/>
  <c r="P460" i="1"/>
  <c r="H460" i="1"/>
  <c r="W459" i="1"/>
  <c r="V459" i="1"/>
  <c r="U459" i="1"/>
  <c r="S459" i="1"/>
  <c r="R459" i="1"/>
  <c r="Q459" i="1"/>
  <c r="P459" i="1"/>
  <c r="H459" i="1"/>
  <c r="W458" i="1"/>
  <c r="V458" i="1"/>
  <c r="U458" i="1"/>
  <c r="S458" i="1"/>
  <c r="R458" i="1"/>
  <c r="Q458" i="1"/>
  <c r="P458" i="1"/>
  <c r="H458" i="1"/>
  <c r="U457" i="1"/>
  <c r="S457" i="1"/>
  <c r="R457" i="1"/>
  <c r="Q457" i="1"/>
  <c r="P457" i="1"/>
  <c r="H457" i="1"/>
  <c r="V457" i="1" s="1"/>
  <c r="W457" i="1" s="1"/>
  <c r="U456" i="1"/>
  <c r="S456" i="1"/>
  <c r="R456" i="1"/>
  <c r="Q456" i="1"/>
  <c r="P456" i="1"/>
  <c r="H456" i="1"/>
  <c r="V456" i="1" s="1"/>
  <c r="W456" i="1" s="1"/>
  <c r="W455" i="1"/>
  <c r="V455" i="1"/>
  <c r="U455" i="1"/>
  <c r="S455" i="1"/>
  <c r="R455" i="1"/>
  <c r="Q455" i="1"/>
  <c r="P455" i="1"/>
  <c r="H455" i="1"/>
  <c r="W454" i="1"/>
  <c r="V454" i="1"/>
  <c r="U454" i="1"/>
  <c r="S454" i="1"/>
  <c r="R454" i="1"/>
  <c r="Q454" i="1"/>
  <c r="P454" i="1"/>
  <c r="H454" i="1"/>
  <c r="U453" i="1"/>
  <c r="S453" i="1"/>
  <c r="R453" i="1"/>
  <c r="Q453" i="1"/>
  <c r="P453" i="1"/>
  <c r="H453" i="1"/>
  <c r="V453" i="1" s="1"/>
  <c r="W453" i="1" s="1"/>
  <c r="W452" i="1"/>
  <c r="V452" i="1"/>
  <c r="U452" i="1"/>
  <c r="S452" i="1"/>
  <c r="R452" i="1"/>
  <c r="Q452" i="1"/>
  <c r="P452" i="1"/>
  <c r="H452" i="1"/>
  <c r="W451" i="1"/>
  <c r="V451" i="1"/>
  <c r="U451" i="1"/>
  <c r="S451" i="1"/>
  <c r="R451" i="1"/>
  <c r="Q451" i="1"/>
  <c r="P451" i="1"/>
  <c r="H451" i="1"/>
  <c r="W450" i="1"/>
  <c r="V450" i="1"/>
  <c r="U450" i="1"/>
  <c r="S450" i="1"/>
  <c r="R450" i="1"/>
  <c r="Q450" i="1"/>
  <c r="P450" i="1"/>
  <c r="H450" i="1"/>
  <c r="U449" i="1"/>
  <c r="S449" i="1"/>
  <c r="R449" i="1"/>
  <c r="Q449" i="1"/>
  <c r="P449" i="1"/>
  <c r="H449" i="1"/>
  <c r="V449" i="1" s="1"/>
  <c r="W449" i="1" s="1"/>
  <c r="U448" i="1"/>
  <c r="S448" i="1"/>
  <c r="R448" i="1"/>
  <c r="Q448" i="1"/>
  <c r="P448" i="1"/>
  <c r="H448" i="1"/>
  <c r="V448" i="1" s="1"/>
  <c r="W448" i="1" s="1"/>
  <c r="W447" i="1"/>
  <c r="U447" i="1"/>
  <c r="S447" i="1"/>
  <c r="R447" i="1"/>
  <c r="P447" i="1"/>
  <c r="H447" i="1"/>
  <c r="U446" i="1"/>
  <c r="S446" i="1"/>
  <c r="R446" i="1"/>
  <c r="Q446" i="1"/>
  <c r="P446" i="1"/>
  <c r="H446" i="1"/>
  <c r="V446" i="1" s="1"/>
  <c r="W446" i="1" s="1"/>
  <c r="U445" i="1"/>
  <c r="S445" i="1"/>
  <c r="R445" i="1"/>
  <c r="Q445" i="1"/>
  <c r="P445" i="1"/>
  <c r="H445" i="1"/>
  <c r="V445" i="1" s="1"/>
  <c r="W445" i="1" s="1"/>
  <c r="W444" i="1"/>
  <c r="V444" i="1"/>
  <c r="U444" i="1"/>
  <c r="S444" i="1"/>
  <c r="R444" i="1"/>
  <c r="Q444" i="1"/>
  <c r="P444" i="1"/>
  <c r="H444" i="1"/>
  <c r="U443" i="1"/>
  <c r="S443" i="1"/>
  <c r="R443" i="1"/>
  <c r="Q443" i="1"/>
  <c r="P443" i="1"/>
  <c r="H443" i="1"/>
  <c r="V443" i="1" s="1"/>
  <c r="W443" i="1" s="1"/>
  <c r="W442" i="1"/>
  <c r="U442" i="1"/>
  <c r="S442" i="1"/>
  <c r="R442" i="1"/>
  <c r="P442" i="1"/>
  <c r="H442" i="1"/>
  <c r="W441" i="1"/>
  <c r="V441" i="1"/>
  <c r="U441" i="1"/>
  <c r="S441" i="1"/>
  <c r="R441" i="1"/>
  <c r="Q441" i="1"/>
  <c r="P441" i="1"/>
  <c r="H441" i="1"/>
  <c r="W440" i="1"/>
  <c r="V440" i="1"/>
  <c r="U440" i="1"/>
  <c r="S440" i="1"/>
  <c r="R440" i="1"/>
  <c r="Q440" i="1"/>
  <c r="P440" i="1"/>
  <c r="H440" i="1"/>
  <c r="W439" i="1"/>
  <c r="V439" i="1"/>
  <c r="U439" i="1"/>
  <c r="S439" i="1"/>
  <c r="R439" i="1"/>
  <c r="Q439" i="1"/>
  <c r="P439" i="1"/>
  <c r="H439" i="1"/>
  <c r="U438" i="1"/>
  <c r="S438" i="1"/>
  <c r="R438" i="1"/>
  <c r="Q438" i="1"/>
  <c r="P438" i="1"/>
  <c r="H438" i="1"/>
  <c r="V438" i="1" s="1"/>
  <c r="W438" i="1" s="1"/>
  <c r="W437" i="1"/>
  <c r="V437" i="1"/>
  <c r="U437" i="1"/>
  <c r="S437" i="1"/>
  <c r="R437" i="1"/>
  <c r="Q437" i="1"/>
  <c r="P437" i="1"/>
  <c r="H437" i="1"/>
  <c r="U436" i="1"/>
  <c r="S436" i="1"/>
  <c r="R436" i="1"/>
  <c r="Q436" i="1"/>
  <c r="P436" i="1"/>
  <c r="H436" i="1"/>
  <c r="V436" i="1" s="1"/>
  <c r="W436" i="1" s="1"/>
  <c r="W435" i="1"/>
  <c r="V435" i="1"/>
  <c r="U435" i="1"/>
  <c r="S435" i="1"/>
  <c r="R435" i="1"/>
  <c r="Q435" i="1"/>
  <c r="P435" i="1"/>
  <c r="H435" i="1"/>
  <c r="U434" i="1"/>
  <c r="S434" i="1"/>
  <c r="R434" i="1"/>
  <c r="Q434" i="1"/>
  <c r="P434" i="1"/>
  <c r="H434" i="1"/>
  <c r="V434" i="1" s="1"/>
  <c r="W434" i="1" s="1"/>
  <c r="U433" i="1"/>
  <c r="S433" i="1"/>
  <c r="R433" i="1"/>
  <c r="Q433" i="1"/>
  <c r="P433" i="1"/>
  <c r="H433" i="1"/>
  <c r="V433" i="1" s="1"/>
  <c r="W433" i="1" s="1"/>
  <c r="U432" i="1"/>
  <c r="S432" i="1"/>
  <c r="R432" i="1"/>
  <c r="Q432" i="1"/>
  <c r="P432" i="1"/>
  <c r="H432" i="1"/>
  <c r="V432" i="1" s="1"/>
  <c r="W432" i="1" s="1"/>
  <c r="U431" i="1"/>
  <c r="S431" i="1"/>
  <c r="R431" i="1"/>
  <c r="Q431" i="1"/>
  <c r="P431" i="1"/>
  <c r="H431" i="1"/>
  <c r="V431" i="1" s="1"/>
  <c r="W431" i="1" s="1"/>
  <c r="W430" i="1"/>
  <c r="U430" i="1"/>
  <c r="S430" i="1"/>
  <c r="R430" i="1"/>
  <c r="P430" i="1"/>
  <c r="H430" i="1"/>
  <c r="U429" i="1"/>
  <c r="S429" i="1"/>
  <c r="R429" i="1"/>
  <c r="Q429" i="1"/>
  <c r="P429" i="1"/>
  <c r="H429" i="1"/>
  <c r="V429" i="1" s="1"/>
  <c r="W429" i="1" s="1"/>
  <c r="U428" i="1"/>
  <c r="S428" i="1"/>
  <c r="R428" i="1"/>
  <c r="Q428" i="1"/>
  <c r="P428" i="1"/>
  <c r="H428" i="1"/>
  <c r="V428" i="1" s="1"/>
  <c r="W428" i="1" s="1"/>
  <c r="U427" i="1"/>
  <c r="S427" i="1"/>
  <c r="R427" i="1"/>
  <c r="Q427" i="1"/>
  <c r="P427" i="1"/>
  <c r="H427" i="1"/>
  <c r="V427" i="1" s="1"/>
  <c r="W427" i="1" s="1"/>
  <c r="U426" i="1"/>
  <c r="S426" i="1"/>
  <c r="R426" i="1"/>
  <c r="Q426" i="1"/>
  <c r="P426" i="1"/>
  <c r="H426" i="1"/>
  <c r="V426" i="1" s="1"/>
  <c r="W426" i="1" s="1"/>
  <c r="U425" i="1"/>
  <c r="S425" i="1"/>
  <c r="R425" i="1"/>
  <c r="Q425" i="1"/>
  <c r="P425" i="1"/>
  <c r="H425" i="1"/>
  <c r="V425" i="1" s="1"/>
  <c r="W425" i="1" s="1"/>
  <c r="U424" i="1"/>
  <c r="S424" i="1"/>
  <c r="R424" i="1"/>
  <c r="Q424" i="1"/>
  <c r="P424" i="1"/>
  <c r="H424" i="1"/>
  <c r="V424" i="1" s="1"/>
  <c r="W424" i="1" s="1"/>
  <c r="U423" i="1"/>
  <c r="S423" i="1"/>
  <c r="R423" i="1"/>
  <c r="Q423" i="1"/>
  <c r="P423" i="1"/>
  <c r="H423" i="1"/>
  <c r="V423" i="1" s="1"/>
  <c r="W423" i="1" s="1"/>
  <c r="U422" i="1"/>
  <c r="S422" i="1"/>
  <c r="R422" i="1"/>
  <c r="Q422" i="1"/>
  <c r="P422" i="1"/>
  <c r="H422" i="1"/>
  <c r="V422" i="1" s="1"/>
  <c r="W422" i="1" s="1"/>
  <c r="U421" i="1"/>
  <c r="S421" i="1"/>
  <c r="R421" i="1"/>
  <c r="Q421" i="1"/>
  <c r="P421" i="1"/>
  <c r="H421" i="1"/>
  <c r="V421" i="1" s="1"/>
  <c r="W421" i="1" s="1"/>
  <c r="U420" i="1"/>
  <c r="S420" i="1"/>
  <c r="R420" i="1"/>
  <c r="Q420" i="1"/>
  <c r="P420" i="1"/>
  <c r="H420" i="1"/>
  <c r="V420" i="1" s="1"/>
  <c r="W420" i="1" s="1"/>
  <c r="U419" i="1"/>
  <c r="S419" i="1"/>
  <c r="R419" i="1"/>
  <c r="Q419" i="1"/>
  <c r="P419" i="1"/>
  <c r="H419" i="1"/>
  <c r="V419" i="1" s="1"/>
  <c r="W419" i="1" s="1"/>
  <c r="U418" i="1"/>
  <c r="S418" i="1"/>
  <c r="R418" i="1"/>
  <c r="Q418" i="1"/>
  <c r="P418" i="1"/>
  <c r="H418" i="1"/>
  <c r="V418" i="1" s="1"/>
  <c r="W418" i="1" s="1"/>
  <c r="U417" i="1"/>
  <c r="S417" i="1"/>
  <c r="R417" i="1"/>
  <c r="Q417" i="1"/>
  <c r="P417" i="1"/>
  <c r="H417" i="1"/>
  <c r="V417" i="1" s="1"/>
  <c r="W417" i="1" s="1"/>
  <c r="U416" i="1"/>
  <c r="S416" i="1"/>
  <c r="R416" i="1"/>
  <c r="Q416" i="1"/>
  <c r="P416" i="1"/>
  <c r="H416" i="1"/>
  <c r="V416" i="1" s="1"/>
  <c r="W416" i="1" s="1"/>
  <c r="U415" i="1"/>
  <c r="S415" i="1"/>
  <c r="R415" i="1"/>
  <c r="Q415" i="1"/>
  <c r="P415" i="1"/>
  <c r="H415" i="1"/>
  <c r="V415" i="1" s="1"/>
  <c r="W415" i="1" s="1"/>
  <c r="U414" i="1"/>
  <c r="S414" i="1"/>
  <c r="R414" i="1"/>
  <c r="Q414" i="1"/>
  <c r="P414" i="1"/>
  <c r="H414" i="1"/>
  <c r="V414" i="1" s="1"/>
  <c r="W414" i="1" s="1"/>
  <c r="U413" i="1"/>
  <c r="S413" i="1"/>
  <c r="R413" i="1"/>
  <c r="Q413" i="1"/>
  <c r="P413" i="1"/>
  <c r="H413" i="1"/>
  <c r="V413" i="1" s="1"/>
  <c r="W413" i="1" s="1"/>
  <c r="W412" i="1"/>
  <c r="V412" i="1"/>
  <c r="U412" i="1"/>
  <c r="S412" i="1"/>
  <c r="R412" i="1"/>
  <c r="Q412" i="1"/>
  <c r="P412" i="1"/>
  <c r="H412" i="1"/>
  <c r="U411" i="1"/>
  <c r="S411" i="1"/>
  <c r="R411" i="1"/>
  <c r="Q411" i="1"/>
  <c r="P411" i="1"/>
  <c r="H411" i="1"/>
  <c r="V411" i="1" s="1"/>
  <c r="W411" i="1" s="1"/>
  <c r="W410" i="1"/>
  <c r="U410" i="1"/>
  <c r="S410" i="1"/>
  <c r="R410" i="1"/>
  <c r="P410" i="1"/>
  <c r="H410" i="1"/>
  <c r="U409" i="1"/>
  <c r="S409" i="1"/>
  <c r="R409" i="1"/>
  <c r="Q409" i="1"/>
  <c r="P409" i="1"/>
  <c r="H409" i="1"/>
  <c r="V409" i="1" s="1"/>
  <c r="W409" i="1" s="1"/>
  <c r="U408" i="1"/>
  <c r="S408" i="1"/>
  <c r="R408" i="1"/>
  <c r="Q408" i="1"/>
  <c r="P408" i="1"/>
  <c r="H408" i="1"/>
  <c r="V408" i="1" s="1"/>
  <c r="W408" i="1" s="1"/>
  <c r="U407" i="1"/>
  <c r="S407" i="1"/>
  <c r="R407" i="1"/>
  <c r="Q407" i="1"/>
  <c r="P407" i="1"/>
  <c r="H407" i="1"/>
  <c r="V407" i="1" s="1"/>
  <c r="W407" i="1" s="1"/>
  <c r="U406" i="1"/>
  <c r="S406" i="1"/>
  <c r="R406" i="1"/>
  <c r="Q406" i="1"/>
  <c r="P406" i="1"/>
  <c r="H406" i="1"/>
  <c r="V406" i="1" s="1"/>
  <c r="W406" i="1" s="1"/>
  <c r="W405" i="1"/>
  <c r="V405" i="1"/>
  <c r="U405" i="1"/>
  <c r="S405" i="1"/>
  <c r="R405" i="1"/>
  <c r="Q405" i="1"/>
  <c r="P405" i="1"/>
  <c r="H405" i="1"/>
  <c r="U404" i="1"/>
  <c r="S404" i="1"/>
  <c r="R404" i="1"/>
  <c r="Q404" i="1"/>
  <c r="P404" i="1"/>
  <c r="H404" i="1"/>
  <c r="V404" i="1" s="1"/>
  <c r="W404" i="1" s="1"/>
  <c r="W403" i="1"/>
  <c r="U403" i="1"/>
  <c r="S403" i="1"/>
  <c r="R403" i="1"/>
  <c r="P403" i="1"/>
  <c r="H403" i="1"/>
  <c r="U402" i="1"/>
  <c r="S402" i="1"/>
  <c r="R402" i="1"/>
  <c r="Q402" i="1"/>
  <c r="P402" i="1"/>
  <c r="H402" i="1"/>
  <c r="V402" i="1" s="1"/>
  <c r="W402" i="1" s="1"/>
  <c r="W401" i="1"/>
  <c r="V401" i="1"/>
  <c r="U401" i="1"/>
  <c r="S401" i="1"/>
  <c r="R401" i="1"/>
  <c r="Q401" i="1"/>
  <c r="P401" i="1"/>
  <c r="H401" i="1"/>
  <c r="U400" i="1"/>
  <c r="S400" i="1"/>
  <c r="R400" i="1"/>
  <c r="Q400" i="1"/>
  <c r="P400" i="1"/>
  <c r="H400" i="1"/>
  <c r="V400" i="1" s="1"/>
  <c r="W400" i="1" s="1"/>
  <c r="W399" i="1"/>
  <c r="U399" i="1"/>
  <c r="S399" i="1"/>
  <c r="R399" i="1"/>
  <c r="P399" i="1"/>
  <c r="H399" i="1"/>
  <c r="W398" i="1"/>
  <c r="V398" i="1"/>
  <c r="U398" i="1"/>
  <c r="S398" i="1"/>
  <c r="R398" i="1"/>
  <c r="Q398" i="1"/>
  <c r="P398" i="1"/>
  <c r="H398" i="1"/>
  <c r="U397" i="1"/>
  <c r="S397" i="1"/>
  <c r="R397" i="1"/>
  <c r="Q397" i="1"/>
  <c r="P397" i="1"/>
  <c r="H397" i="1"/>
  <c r="V397" i="1" s="1"/>
  <c r="W397" i="1" s="1"/>
  <c r="U396" i="1"/>
  <c r="S396" i="1"/>
  <c r="R396" i="1"/>
  <c r="Q396" i="1"/>
  <c r="P396" i="1"/>
  <c r="H396" i="1"/>
  <c r="V396" i="1" s="1"/>
  <c r="W396" i="1" s="1"/>
  <c r="U395" i="1"/>
  <c r="S395" i="1"/>
  <c r="R395" i="1"/>
  <c r="Q395" i="1"/>
  <c r="P395" i="1"/>
  <c r="H395" i="1"/>
  <c r="V395" i="1" s="1"/>
  <c r="W395" i="1" s="1"/>
  <c r="W394" i="1"/>
  <c r="V394" i="1"/>
  <c r="U394" i="1"/>
  <c r="S394" i="1"/>
  <c r="R394" i="1"/>
  <c r="Q394" i="1"/>
  <c r="P394" i="1"/>
  <c r="H394" i="1"/>
  <c r="U393" i="1"/>
  <c r="S393" i="1"/>
  <c r="R393" i="1"/>
  <c r="Q393" i="1"/>
  <c r="P393" i="1"/>
  <c r="H393" i="1"/>
  <c r="V393" i="1" s="1"/>
  <c r="W393" i="1" s="1"/>
  <c r="U392" i="1"/>
  <c r="S392" i="1"/>
  <c r="R392" i="1"/>
  <c r="Q392" i="1"/>
  <c r="P392" i="1"/>
  <c r="H392" i="1"/>
  <c r="V392" i="1" s="1"/>
  <c r="W392" i="1" s="1"/>
  <c r="U391" i="1"/>
  <c r="S391" i="1"/>
  <c r="R391" i="1"/>
  <c r="Q391" i="1"/>
  <c r="P391" i="1"/>
  <c r="H391" i="1"/>
  <c r="V391" i="1" s="1"/>
  <c r="W391" i="1" s="1"/>
  <c r="U390" i="1"/>
  <c r="S390" i="1"/>
  <c r="R390" i="1"/>
  <c r="Q390" i="1"/>
  <c r="P390" i="1"/>
  <c r="H390" i="1"/>
  <c r="V390" i="1" s="1"/>
  <c r="W390" i="1" s="1"/>
  <c r="U389" i="1"/>
  <c r="S389" i="1"/>
  <c r="R389" i="1"/>
  <c r="Q389" i="1"/>
  <c r="P389" i="1"/>
  <c r="H389" i="1"/>
  <c r="V389" i="1" s="1"/>
  <c r="W389" i="1" s="1"/>
  <c r="U388" i="1"/>
  <c r="S388" i="1"/>
  <c r="R388" i="1"/>
  <c r="Q388" i="1"/>
  <c r="P388" i="1"/>
  <c r="H388" i="1"/>
  <c r="V388" i="1" s="1"/>
  <c r="W388" i="1" s="1"/>
  <c r="W387" i="1"/>
  <c r="V387" i="1"/>
  <c r="U387" i="1"/>
  <c r="S387" i="1"/>
  <c r="R387" i="1"/>
  <c r="Q387" i="1"/>
  <c r="P387" i="1"/>
  <c r="H387" i="1"/>
  <c r="U386" i="1"/>
  <c r="S386" i="1"/>
  <c r="R386" i="1"/>
  <c r="Q386" i="1"/>
  <c r="P386" i="1"/>
  <c r="H386" i="1"/>
  <c r="V386" i="1" s="1"/>
  <c r="W386" i="1" s="1"/>
  <c r="U385" i="1"/>
  <c r="S385" i="1"/>
  <c r="R385" i="1"/>
  <c r="Q385" i="1"/>
  <c r="P385" i="1"/>
  <c r="H385" i="1"/>
  <c r="V385" i="1" s="1"/>
  <c r="W385" i="1" s="1"/>
  <c r="W384" i="1"/>
  <c r="V384" i="1"/>
  <c r="U384" i="1"/>
  <c r="S384" i="1"/>
  <c r="R384" i="1"/>
  <c r="Q384" i="1"/>
  <c r="P384" i="1"/>
  <c r="H384" i="1"/>
  <c r="W383" i="1"/>
  <c r="V383" i="1"/>
  <c r="U383" i="1"/>
  <c r="S383" i="1"/>
  <c r="R383" i="1"/>
  <c r="Q383" i="1"/>
  <c r="P383" i="1"/>
  <c r="H383" i="1"/>
  <c r="U382" i="1"/>
  <c r="S382" i="1"/>
  <c r="R382" i="1"/>
  <c r="Q382" i="1"/>
  <c r="P382" i="1"/>
  <c r="H382" i="1"/>
  <c r="V382" i="1" s="1"/>
  <c r="W382" i="1" s="1"/>
  <c r="W381" i="1"/>
  <c r="V381" i="1"/>
  <c r="U381" i="1"/>
  <c r="S381" i="1"/>
  <c r="R381" i="1"/>
  <c r="Q381" i="1"/>
  <c r="P381" i="1"/>
  <c r="H381" i="1"/>
  <c r="U380" i="1"/>
  <c r="S380" i="1"/>
  <c r="R380" i="1"/>
  <c r="Q380" i="1"/>
  <c r="P380" i="1"/>
  <c r="H380" i="1"/>
  <c r="V380" i="1" s="1"/>
  <c r="W380" i="1" s="1"/>
  <c r="W379" i="1"/>
  <c r="U379" i="1"/>
  <c r="S379" i="1"/>
  <c r="R379" i="1"/>
  <c r="P379" i="1"/>
  <c r="H379" i="1"/>
  <c r="U378" i="1"/>
  <c r="S378" i="1"/>
  <c r="R378" i="1"/>
  <c r="Q378" i="1"/>
  <c r="P378" i="1"/>
  <c r="H378" i="1"/>
  <c r="V378" i="1" s="1"/>
  <c r="W378" i="1" s="1"/>
  <c r="U377" i="1"/>
  <c r="S377" i="1"/>
  <c r="R377" i="1"/>
  <c r="Q377" i="1"/>
  <c r="P377" i="1"/>
  <c r="H377" i="1"/>
  <c r="V377" i="1" s="1"/>
  <c r="W377" i="1" s="1"/>
  <c r="W376" i="1"/>
  <c r="V376" i="1"/>
  <c r="U376" i="1"/>
  <c r="S376" i="1"/>
  <c r="R376" i="1"/>
  <c r="Q376" i="1"/>
  <c r="P376" i="1"/>
  <c r="H376" i="1"/>
  <c r="U375" i="1"/>
  <c r="S375" i="1"/>
  <c r="R375" i="1"/>
  <c r="Q375" i="1"/>
  <c r="P375" i="1"/>
  <c r="H375" i="1"/>
  <c r="V375" i="1" s="1"/>
  <c r="W375" i="1" s="1"/>
  <c r="U374" i="1"/>
  <c r="S374" i="1"/>
  <c r="R374" i="1"/>
  <c r="Q374" i="1"/>
  <c r="P374" i="1"/>
  <c r="H374" i="1"/>
  <c r="V374" i="1" s="1"/>
  <c r="W374" i="1" s="1"/>
  <c r="W373" i="1"/>
  <c r="V373" i="1"/>
  <c r="U373" i="1"/>
  <c r="S373" i="1"/>
  <c r="R373" i="1"/>
  <c r="Q373" i="1"/>
  <c r="P373" i="1"/>
  <c r="H373" i="1"/>
  <c r="U372" i="1"/>
  <c r="S372" i="1"/>
  <c r="R372" i="1"/>
  <c r="Q372" i="1"/>
  <c r="P372" i="1"/>
  <c r="H372" i="1"/>
  <c r="V372" i="1" s="1"/>
  <c r="W372" i="1" s="1"/>
  <c r="U371" i="1"/>
  <c r="S371" i="1"/>
  <c r="R371" i="1"/>
  <c r="Q371" i="1"/>
  <c r="P371" i="1"/>
  <c r="H371" i="1"/>
  <c r="V371" i="1" s="1"/>
  <c r="W371" i="1" s="1"/>
  <c r="U370" i="1"/>
  <c r="S370" i="1"/>
  <c r="R370" i="1"/>
  <c r="Q370" i="1"/>
  <c r="P370" i="1"/>
  <c r="H370" i="1"/>
  <c r="V370" i="1" s="1"/>
  <c r="W370" i="1" s="1"/>
  <c r="U369" i="1"/>
  <c r="S369" i="1"/>
  <c r="R369" i="1"/>
  <c r="Q369" i="1"/>
  <c r="P369" i="1"/>
  <c r="H369" i="1"/>
  <c r="V369" i="1" s="1"/>
  <c r="W369" i="1" s="1"/>
  <c r="U368" i="1"/>
  <c r="S368" i="1"/>
  <c r="R368" i="1"/>
  <c r="Q368" i="1"/>
  <c r="P368" i="1"/>
  <c r="H368" i="1"/>
  <c r="V368" i="1" s="1"/>
  <c r="W368" i="1" s="1"/>
  <c r="U367" i="1"/>
  <c r="S367" i="1"/>
  <c r="R367" i="1"/>
  <c r="Q367" i="1"/>
  <c r="P367" i="1"/>
  <c r="H367" i="1"/>
  <c r="V367" i="1" s="1"/>
  <c r="W367" i="1" s="1"/>
  <c r="U366" i="1"/>
  <c r="S366" i="1"/>
  <c r="R366" i="1"/>
  <c r="Q366" i="1"/>
  <c r="P366" i="1"/>
  <c r="H366" i="1"/>
  <c r="V366" i="1" s="1"/>
  <c r="W366" i="1" s="1"/>
  <c r="U365" i="1"/>
  <c r="S365" i="1"/>
  <c r="R365" i="1"/>
  <c r="Q365" i="1"/>
  <c r="P365" i="1"/>
  <c r="H365" i="1"/>
  <c r="V365" i="1" s="1"/>
  <c r="W365" i="1" s="1"/>
  <c r="U364" i="1"/>
  <c r="S364" i="1"/>
  <c r="R364" i="1"/>
  <c r="Q364" i="1"/>
  <c r="P364" i="1"/>
  <c r="H364" i="1"/>
  <c r="V364" i="1" s="1"/>
  <c r="W364" i="1" s="1"/>
  <c r="U363" i="1"/>
  <c r="S363" i="1"/>
  <c r="R363" i="1"/>
  <c r="Q363" i="1"/>
  <c r="P363" i="1"/>
  <c r="H363" i="1"/>
  <c r="V363" i="1" s="1"/>
  <c r="W363" i="1" s="1"/>
  <c r="W362" i="1"/>
  <c r="V362" i="1"/>
  <c r="U362" i="1"/>
  <c r="S362" i="1"/>
  <c r="R362" i="1"/>
  <c r="Q362" i="1"/>
  <c r="P362" i="1"/>
  <c r="H362" i="1"/>
  <c r="U361" i="1"/>
  <c r="S361" i="1"/>
  <c r="R361" i="1"/>
  <c r="Q361" i="1"/>
  <c r="P361" i="1"/>
  <c r="H361" i="1"/>
  <c r="V361" i="1" s="1"/>
  <c r="W361" i="1" s="1"/>
  <c r="U360" i="1"/>
  <c r="S360" i="1"/>
  <c r="R360" i="1"/>
  <c r="Q360" i="1"/>
  <c r="P360" i="1"/>
  <c r="H360" i="1"/>
  <c r="V360" i="1" s="1"/>
  <c r="W360" i="1" s="1"/>
  <c r="U359" i="1"/>
  <c r="S359" i="1"/>
  <c r="R359" i="1"/>
  <c r="Q359" i="1"/>
  <c r="P359" i="1"/>
  <c r="H359" i="1"/>
  <c r="V359" i="1" s="1"/>
  <c r="W359" i="1" s="1"/>
  <c r="W358" i="1"/>
  <c r="V358" i="1"/>
  <c r="U358" i="1"/>
  <c r="S358" i="1"/>
  <c r="R358" i="1"/>
  <c r="Q358" i="1"/>
  <c r="P358" i="1"/>
  <c r="H358" i="1"/>
  <c r="U357" i="1"/>
  <c r="S357" i="1"/>
  <c r="R357" i="1"/>
  <c r="Q357" i="1"/>
  <c r="P357" i="1"/>
  <c r="H357" i="1"/>
  <c r="V357" i="1" s="1"/>
  <c r="W357" i="1" s="1"/>
  <c r="U356" i="1"/>
  <c r="S356" i="1"/>
  <c r="R356" i="1"/>
  <c r="Q356" i="1"/>
  <c r="P356" i="1"/>
  <c r="H356" i="1"/>
  <c r="V356" i="1" s="1"/>
  <c r="W356" i="1" s="1"/>
  <c r="U355" i="1"/>
  <c r="S355" i="1"/>
  <c r="R355" i="1"/>
  <c r="Q355" i="1"/>
  <c r="P355" i="1"/>
  <c r="H355" i="1"/>
  <c r="V355" i="1" s="1"/>
  <c r="W355" i="1" s="1"/>
  <c r="U354" i="1"/>
  <c r="S354" i="1"/>
  <c r="R354" i="1"/>
  <c r="Q354" i="1"/>
  <c r="P354" i="1"/>
  <c r="H354" i="1"/>
  <c r="V354" i="1" s="1"/>
  <c r="W354" i="1" s="1"/>
  <c r="U353" i="1"/>
  <c r="S353" i="1"/>
  <c r="R353" i="1"/>
  <c r="Q353" i="1"/>
  <c r="P353" i="1"/>
  <c r="H353" i="1"/>
  <c r="V353" i="1" s="1"/>
  <c r="W353" i="1" s="1"/>
  <c r="U352" i="1"/>
  <c r="S352" i="1"/>
  <c r="R352" i="1"/>
  <c r="Q352" i="1"/>
  <c r="P352" i="1"/>
  <c r="H352" i="1"/>
  <c r="V352" i="1" s="1"/>
  <c r="W352" i="1" s="1"/>
  <c r="U351" i="1"/>
  <c r="S351" i="1"/>
  <c r="R351" i="1"/>
  <c r="Q351" i="1"/>
  <c r="P351" i="1"/>
  <c r="H351" i="1"/>
  <c r="V351" i="1" s="1"/>
  <c r="W351" i="1" s="1"/>
  <c r="W350" i="1"/>
  <c r="U350" i="1"/>
  <c r="S350" i="1"/>
  <c r="R350" i="1"/>
  <c r="P350" i="1"/>
  <c r="H350" i="1"/>
  <c r="U349" i="1"/>
  <c r="S349" i="1"/>
  <c r="R349" i="1"/>
  <c r="Q349" i="1"/>
  <c r="P349" i="1"/>
  <c r="H349" i="1"/>
  <c r="V349" i="1" s="1"/>
  <c r="W349" i="1" s="1"/>
  <c r="U348" i="1"/>
  <c r="S348" i="1"/>
  <c r="R348" i="1"/>
  <c r="Q348" i="1"/>
  <c r="P348" i="1"/>
  <c r="H348" i="1"/>
  <c r="V348" i="1" s="1"/>
  <c r="W348" i="1" s="1"/>
  <c r="W347" i="1"/>
  <c r="V347" i="1"/>
  <c r="U347" i="1"/>
  <c r="S347" i="1"/>
  <c r="R347" i="1"/>
  <c r="Q347" i="1"/>
  <c r="P347" i="1"/>
  <c r="H347" i="1"/>
  <c r="U346" i="1"/>
  <c r="S346" i="1"/>
  <c r="R346" i="1"/>
  <c r="Q346" i="1"/>
  <c r="P346" i="1"/>
  <c r="H346" i="1"/>
  <c r="V346" i="1" s="1"/>
  <c r="W346" i="1" s="1"/>
  <c r="W345" i="1"/>
  <c r="V345" i="1"/>
  <c r="U345" i="1"/>
  <c r="S345" i="1"/>
  <c r="R345" i="1"/>
  <c r="Q345" i="1"/>
  <c r="P345" i="1"/>
  <c r="H345" i="1"/>
  <c r="U344" i="1"/>
  <c r="S344" i="1"/>
  <c r="R344" i="1"/>
  <c r="Q344" i="1"/>
  <c r="P344" i="1"/>
  <c r="H344" i="1"/>
  <c r="V344" i="1" s="1"/>
  <c r="W344" i="1" s="1"/>
  <c r="U343" i="1"/>
  <c r="S343" i="1"/>
  <c r="R343" i="1"/>
  <c r="Q343" i="1"/>
  <c r="P343" i="1"/>
  <c r="H343" i="1"/>
  <c r="V343" i="1" s="1"/>
  <c r="W343" i="1" s="1"/>
  <c r="W342" i="1"/>
  <c r="V342" i="1"/>
  <c r="U342" i="1"/>
  <c r="S342" i="1"/>
  <c r="R342" i="1"/>
  <c r="Q342" i="1"/>
  <c r="P342" i="1"/>
  <c r="H342" i="1"/>
  <c r="U341" i="1"/>
  <c r="S341" i="1"/>
  <c r="R341" i="1"/>
  <c r="Q341" i="1"/>
  <c r="P341" i="1"/>
  <c r="H341" i="1"/>
  <c r="V341" i="1" s="1"/>
  <c r="W341" i="1" s="1"/>
  <c r="U340" i="1"/>
  <c r="S340" i="1"/>
  <c r="R340" i="1"/>
  <c r="Q340" i="1"/>
  <c r="P340" i="1"/>
  <c r="H340" i="1"/>
  <c r="V340" i="1" s="1"/>
  <c r="W340" i="1" s="1"/>
  <c r="U339" i="1"/>
  <c r="S339" i="1"/>
  <c r="R339" i="1"/>
  <c r="Q339" i="1"/>
  <c r="P339" i="1"/>
  <c r="H339" i="1"/>
  <c r="V339" i="1" s="1"/>
  <c r="W339" i="1" s="1"/>
  <c r="U338" i="1"/>
  <c r="S338" i="1"/>
  <c r="R338" i="1"/>
  <c r="Q338" i="1"/>
  <c r="P338" i="1"/>
  <c r="H338" i="1"/>
  <c r="V338" i="1" s="1"/>
  <c r="W338" i="1" s="1"/>
  <c r="W337" i="1"/>
  <c r="U337" i="1"/>
  <c r="S337" i="1"/>
  <c r="R337" i="1"/>
  <c r="P337" i="1"/>
  <c r="H337" i="1"/>
  <c r="U336" i="1"/>
  <c r="S336" i="1"/>
  <c r="R336" i="1"/>
  <c r="Q336" i="1"/>
  <c r="P336" i="1"/>
  <c r="H336" i="1"/>
  <c r="V336" i="1" s="1"/>
  <c r="W336" i="1" s="1"/>
  <c r="U335" i="1"/>
  <c r="S335" i="1"/>
  <c r="R335" i="1"/>
  <c r="Q335" i="1"/>
  <c r="P335" i="1"/>
  <c r="H335" i="1"/>
  <c r="V335" i="1" s="1"/>
  <c r="W335" i="1" s="1"/>
  <c r="U334" i="1"/>
  <c r="S334" i="1"/>
  <c r="R334" i="1"/>
  <c r="Q334" i="1"/>
  <c r="P334" i="1"/>
  <c r="H334" i="1"/>
  <c r="V334" i="1" s="1"/>
  <c r="W334" i="1" s="1"/>
  <c r="U333" i="1"/>
  <c r="S333" i="1"/>
  <c r="R333" i="1"/>
  <c r="Q333" i="1"/>
  <c r="P333" i="1"/>
  <c r="H333" i="1"/>
  <c r="V333" i="1" s="1"/>
  <c r="W333" i="1" s="1"/>
  <c r="U332" i="1"/>
  <c r="S332" i="1"/>
  <c r="R332" i="1"/>
  <c r="Q332" i="1"/>
  <c r="P332" i="1"/>
  <c r="H332" i="1"/>
  <c r="V332" i="1" s="1"/>
  <c r="W332" i="1" s="1"/>
  <c r="U331" i="1"/>
  <c r="S331" i="1"/>
  <c r="R331" i="1"/>
  <c r="Q331" i="1"/>
  <c r="P331" i="1"/>
  <c r="H331" i="1"/>
  <c r="V331" i="1" s="1"/>
  <c r="W331" i="1" s="1"/>
  <c r="U330" i="1"/>
  <c r="S330" i="1"/>
  <c r="R330" i="1"/>
  <c r="Q330" i="1"/>
  <c r="P330" i="1"/>
  <c r="H330" i="1"/>
  <c r="V330" i="1" s="1"/>
  <c r="W330" i="1" s="1"/>
  <c r="W329" i="1"/>
  <c r="V329" i="1"/>
  <c r="U329" i="1"/>
  <c r="S329" i="1"/>
  <c r="R329" i="1"/>
  <c r="Q329" i="1"/>
  <c r="P329" i="1"/>
  <c r="H329" i="1"/>
  <c r="W328" i="1"/>
  <c r="V328" i="1"/>
  <c r="U328" i="1"/>
  <c r="S328" i="1"/>
  <c r="R328" i="1"/>
  <c r="Q328" i="1"/>
  <c r="P328" i="1"/>
  <c r="H328" i="1"/>
  <c r="U327" i="1"/>
  <c r="S327" i="1"/>
  <c r="R327" i="1"/>
  <c r="Q327" i="1"/>
  <c r="P327" i="1"/>
  <c r="H327" i="1"/>
  <c r="V327" i="1" s="1"/>
  <c r="W327" i="1" s="1"/>
  <c r="U326" i="1"/>
  <c r="S326" i="1"/>
  <c r="R326" i="1"/>
  <c r="Q326" i="1"/>
  <c r="P326" i="1"/>
  <c r="H326" i="1"/>
  <c r="V326" i="1" s="1"/>
  <c r="W326" i="1" s="1"/>
  <c r="W325" i="1"/>
  <c r="V325" i="1"/>
  <c r="U325" i="1"/>
  <c r="S325" i="1"/>
  <c r="R325" i="1"/>
  <c r="Q325" i="1"/>
  <c r="P325" i="1"/>
  <c r="H325" i="1"/>
  <c r="U324" i="1"/>
  <c r="S324" i="1"/>
  <c r="R324" i="1"/>
  <c r="Q324" i="1"/>
  <c r="P324" i="1"/>
  <c r="H324" i="1"/>
  <c r="V324" i="1" s="1"/>
  <c r="W324" i="1" s="1"/>
  <c r="U323" i="1"/>
  <c r="S323" i="1"/>
  <c r="R323" i="1"/>
  <c r="Q323" i="1"/>
  <c r="P323" i="1"/>
  <c r="H323" i="1"/>
  <c r="V323" i="1" s="1"/>
  <c r="W323" i="1" s="1"/>
  <c r="U322" i="1"/>
  <c r="S322" i="1"/>
  <c r="R322" i="1"/>
  <c r="Q322" i="1"/>
  <c r="P322" i="1"/>
  <c r="H322" i="1"/>
  <c r="V322" i="1" s="1"/>
  <c r="W322" i="1" s="1"/>
  <c r="U321" i="1"/>
  <c r="S321" i="1"/>
  <c r="R321" i="1"/>
  <c r="Q321" i="1"/>
  <c r="P321" i="1"/>
  <c r="H321" i="1"/>
  <c r="V321" i="1" s="1"/>
  <c r="W321" i="1" s="1"/>
  <c r="U320" i="1"/>
  <c r="S320" i="1"/>
  <c r="R320" i="1"/>
  <c r="Q320" i="1"/>
  <c r="P320" i="1"/>
  <c r="H320" i="1"/>
  <c r="V320" i="1" s="1"/>
  <c r="W320" i="1" s="1"/>
  <c r="U319" i="1"/>
  <c r="S319" i="1"/>
  <c r="R319" i="1"/>
  <c r="Q319" i="1"/>
  <c r="P319" i="1"/>
  <c r="H319" i="1"/>
  <c r="V319" i="1" s="1"/>
  <c r="W319" i="1" s="1"/>
  <c r="U318" i="1"/>
  <c r="S318" i="1"/>
  <c r="R318" i="1"/>
  <c r="Q318" i="1"/>
  <c r="P318" i="1"/>
  <c r="H318" i="1"/>
  <c r="V318" i="1" s="1"/>
  <c r="W318" i="1" s="1"/>
  <c r="W317" i="1"/>
  <c r="U317" i="1"/>
  <c r="S317" i="1"/>
  <c r="R317" i="1"/>
  <c r="P317" i="1"/>
  <c r="H317" i="1"/>
  <c r="U316" i="1"/>
  <c r="S316" i="1"/>
  <c r="R316" i="1"/>
  <c r="Q316" i="1"/>
  <c r="P316" i="1"/>
  <c r="H316" i="1"/>
  <c r="V316" i="1" s="1"/>
  <c r="W316" i="1" s="1"/>
  <c r="U315" i="1"/>
  <c r="S315" i="1"/>
  <c r="R315" i="1"/>
  <c r="Q315" i="1"/>
  <c r="P315" i="1"/>
  <c r="H315" i="1"/>
  <c r="V315" i="1" s="1"/>
  <c r="W315" i="1" s="1"/>
  <c r="U314" i="1"/>
  <c r="S314" i="1"/>
  <c r="R314" i="1"/>
  <c r="Q314" i="1"/>
  <c r="P314" i="1"/>
  <c r="H314" i="1"/>
  <c r="V314" i="1" s="1"/>
  <c r="W314" i="1" s="1"/>
  <c r="W313" i="1"/>
  <c r="V313" i="1"/>
  <c r="U313" i="1"/>
  <c r="S313" i="1"/>
  <c r="R313" i="1"/>
  <c r="Q313" i="1"/>
  <c r="P313" i="1"/>
  <c r="H313" i="1"/>
  <c r="U312" i="1"/>
  <c r="S312" i="1"/>
  <c r="R312" i="1"/>
  <c r="Q312" i="1"/>
  <c r="P312" i="1"/>
  <c r="H312" i="1"/>
  <c r="V312" i="1" s="1"/>
  <c r="W312" i="1" s="1"/>
  <c r="U311" i="1"/>
  <c r="S311" i="1"/>
  <c r="R311" i="1"/>
  <c r="Q311" i="1"/>
  <c r="P311" i="1"/>
  <c r="H311" i="1"/>
  <c r="V311" i="1" s="1"/>
  <c r="W311" i="1" s="1"/>
  <c r="U310" i="1"/>
  <c r="S310" i="1"/>
  <c r="R310" i="1"/>
  <c r="Q310" i="1"/>
  <c r="P310" i="1"/>
  <c r="H310" i="1"/>
  <c r="V310" i="1" s="1"/>
  <c r="W310" i="1" s="1"/>
  <c r="U309" i="1"/>
  <c r="S309" i="1"/>
  <c r="R309" i="1"/>
  <c r="Q309" i="1"/>
  <c r="P309" i="1"/>
  <c r="H309" i="1"/>
  <c r="V309" i="1" s="1"/>
  <c r="W309" i="1" s="1"/>
  <c r="U308" i="1"/>
  <c r="S308" i="1"/>
  <c r="R308" i="1"/>
  <c r="Q308" i="1"/>
  <c r="P308" i="1"/>
  <c r="H308" i="1"/>
  <c r="V308" i="1" s="1"/>
  <c r="W308" i="1" s="1"/>
  <c r="U307" i="1"/>
  <c r="S307" i="1"/>
  <c r="R307" i="1"/>
  <c r="Q307" i="1"/>
  <c r="P307" i="1"/>
  <c r="H307" i="1"/>
  <c r="V307" i="1" s="1"/>
  <c r="W307" i="1" s="1"/>
  <c r="U306" i="1"/>
  <c r="S306" i="1"/>
  <c r="R306" i="1"/>
  <c r="Q306" i="1"/>
  <c r="P306" i="1"/>
  <c r="H306" i="1"/>
  <c r="V306" i="1" s="1"/>
  <c r="W306" i="1" s="1"/>
  <c r="U305" i="1"/>
  <c r="S305" i="1"/>
  <c r="R305" i="1"/>
  <c r="Q305" i="1"/>
  <c r="P305" i="1"/>
  <c r="H305" i="1"/>
  <c r="V305" i="1" s="1"/>
  <c r="W305" i="1" s="1"/>
  <c r="U304" i="1"/>
  <c r="S304" i="1"/>
  <c r="R304" i="1"/>
  <c r="Q304" i="1"/>
  <c r="P304" i="1"/>
  <c r="H304" i="1"/>
  <c r="V304" i="1" s="1"/>
  <c r="W304" i="1" s="1"/>
  <c r="U303" i="1"/>
  <c r="S303" i="1"/>
  <c r="R303" i="1"/>
  <c r="Q303" i="1"/>
  <c r="P303" i="1"/>
  <c r="H303" i="1"/>
  <c r="V303" i="1" s="1"/>
  <c r="W303" i="1" s="1"/>
  <c r="W302" i="1"/>
  <c r="V302" i="1"/>
  <c r="U302" i="1"/>
  <c r="S302" i="1"/>
  <c r="R302" i="1"/>
  <c r="Q302" i="1"/>
  <c r="P302" i="1"/>
  <c r="H302" i="1"/>
  <c r="U301" i="1"/>
  <c r="S301" i="1"/>
  <c r="R301" i="1"/>
  <c r="Q301" i="1"/>
  <c r="P301" i="1"/>
  <c r="H301" i="1"/>
  <c r="V301" i="1" s="1"/>
  <c r="W301" i="1" s="1"/>
  <c r="U300" i="1"/>
  <c r="S300" i="1"/>
  <c r="R300" i="1"/>
  <c r="Q300" i="1"/>
  <c r="P300" i="1"/>
  <c r="H300" i="1"/>
  <c r="V300" i="1" s="1"/>
  <c r="W300" i="1" s="1"/>
  <c r="U299" i="1"/>
  <c r="S299" i="1"/>
  <c r="R299" i="1"/>
  <c r="Q299" i="1"/>
  <c r="P299" i="1"/>
  <c r="H299" i="1"/>
  <c r="V299" i="1" s="1"/>
  <c r="W299" i="1" s="1"/>
  <c r="U298" i="1"/>
  <c r="S298" i="1"/>
  <c r="R298" i="1"/>
  <c r="Q298" i="1"/>
  <c r="P298" i="1"/>
  <c r="H298" i="1"/>
  <c r="V298" i="1" s="1"/>
  <c r="W298" i="1" s="1"/>
  <c r="U297" i="1"/>
  <c r="S297" i="1"/>
  <c r="R297" i="1"/>
  <c r="Q297" i="1"/>
  <c r="P297" i="1"/>
  <c r="H297" i="1"/>
  <c r="V297" i="1" s="1"/>
  <c r="W297" i="1" s="1"/>
  <c r="U296" i="1"/>
  <c r="S296" i="1"/>
  <c r="R296" i="1"/>
  <c r="Q296" i="1"/>
  <c r="P296" i="1"/>
  <c r="H296" i="1"/>
  <c r="V296" i="1" s="1"/>
  <c r="W296" i="1" s="1"/>
  <c r="U295" i="1"/>
  <c r="S295" i="1"/>
  <c r="R295" i="1"/>
  <c r="Q295" i="1"/>
  <c r="P295" i="1"/>
  <c r="H295" i="1"/>
  <c r="V295" i="1" s="1"/>
  <c r="W295" i="1" s="1"/>
  <c r="W294" i="1"/>
  <c r="V294" i="1"/>
  <c r="U294" i="1"/>
  <c r="S294" i="1"/>
  <c r="R294" i="1"/>
  <c r="Q294" i="1"/>
  <c r="P294" i="1"/>
  <c r="H294" i="1"/>
  <c r="U293" i="1"/>
  <c r="S293" i="1"/>
  <c r="R293" i="1"/>
  <c r="Q293" i="1"/>
  <c r="P293" i="1"/>
  <c r="H293" i="1"/>
  <c r="V293" i="1" s="1"/>
  <c r="W293" i="1" s="1"/>
  <c r="W292" i="1"/>
  <c r="V292" i="1"/>
  <c r="U292" i="1"/>
  <c r="S292" i="1"/>
  <c r="R292" i="1"/>
  <c r="Q292" i="1"/>
  <c r="P292" i="1"/>
  <c r="H292" i="1"/>
  <c r="W291" i="1"/>
  <c r="V291" i="1"/>
  <c r="U291" i="1"/>
  <c r="S291" i="1"/>
  <c r="R291" i="1"/>
  <c r="Q291" i="1"/>
  <c r="P291" i="1"/>
  <c r="H291" i="1"/>
  <c r="U290" i="1"/>
  <c r="S290" i="1"/>
  <c r="R290" i="1"/>
  <c r="Q290" i="1"/>
  <c r="P290" i="1"/>
  <c r="H290" i="1"/>
  <c r="V290" i="1" s="1"/>
  <c r="W290" i="1" s="1"/>
  <c r="U289" i="1"/>
  <c r="S289" i="1"/>
  <c r="R289" i="1"/>
  <c r="Q289" i="1"/>
  <c r="P289" i="1"/>
  <c r="H289" i="1"/>
  <c r="V289" i="1" s="1"/>
  <c r="W289" i="1" s="1"/>
  <c r="U288" i="1"/>
  <c r="S288" i="1"/>
  <c r="R288" i="1"/>
  <c r="Q288" i="1"/>
  <c r="P288" i="1"/>
  <c r="H288" i="1"/>
  <c r="V288" i="1" s="1"/>
  <c r="W288" i="1" s="1"/>
  <c r="U287" i="1"/>
  <c r="S287" i="1"/>
  <c r="R287" i="1"/>
  <c r="Q287" i="1"/>
  <c r="P287" i="1"/>
  <c r="H287" i="1"/>
  <c r="V287" i="1" s="1"/>
  <c r="W287" i="1" s="1"/>
  <c r="U286" i="1"/>
  <c r="S286" i="1"/>
  <c r="R286" i="1"/>
  <c r="Q286" i="1"/>
  <c r="P286" i="1"/>
  <c r="H286" i="1"/>
  <c r="V286" i="1" s="1"/>
  <c r="W286" i="1" s="1"/>
  <c r="U285" i="1"/>
  <c r="S285" i="1"/>
  <c r="R285" i="1"/>
  <c r="Q285" i="1"/>
  <c r="P285" i="1"/>
  <c r="H285" i="1"/>
  <c r="V285" i="1" s="1"/>
  <c r="W285" i="1" s="1"/>
  <c r="W284" i="1"/>
  <c r="V284" i="1"/>
  <c r="U284" i="1"/>
  <c r="S284" i="1"/>
  <c r="R284" i="1"/>
  <c r="Q284" i="1"/>
  <c r="P284" i="1"/>
  <c r="H284" i="1"/>
  <c r="U283" i="1"/>
  <c r="S283" i="1"/>
  <c r="R283" i="1"/>
  <c r="Q283" i="1"/>
  <c r="P283" i="1"/>
  <c r="H283" i="1"/>
  <c r="V283" i="1" s="1"/>
  <c r="W283" i="1" s="1"/>
  <c r="U282" i="1"/>
  <c r="S282" i="1"/>
  <c r="R282" i="1"/>
  <c r="Q282" i="1"/>
  <c r="P282" i="1"/>
  <c r="H282" i="1"/>
  <c r="V282" i="1" s="1"/>
  <c r="W282" i="1" s="1"/>
  <c r="U281" i="1"/>
  <c r="S281" i="1"/>
  <c r="R281" i="1"/>
  <c r="Q281" i="1"/>
  <c r="P281" i="1"/>
  <c r="H281" i="1"/>
  <c r="V281" i="1" s="1"/>
  <c r="W281" i="1" s="1"/>
  <c r="U280" i="1"/>
  <c r="S280" i="1"/>
  <c r="R280" i="1"/>
  <c r="Q280" i="1"/>
  <c r="P280" i="1"/>
  <c r="H280" i="1"/>
  <c r="V280" i="1" s="1"/>
  <c r="W280" i="1" s="1"/>
  <c r="W279" i="1"/>
  <c r="V279" i="1"/>
  <c r="U279" i="1"/>
  <c r="S279" i="1"/>
  <c r="R279" i="1"/>
  <c r="Q279" i="1"/>
  <c r="P279" i="1"/>
  <c r="H279" i="1"/>
  <c r="U278" i="1"/>
  <c r="S278" i="1"/>
  <c r="R278" i="1"/>
  <c r="Q278" i="1"/>
  <c r="P278" i="1"/>
  <c r="H278" i="1"/>
  <c r="V278" i="1" s="1"/>
  <c r="W278" i="1" s="1"/>
  <c r="W277" i="1"/>
  <c r="V277" i="1"/>
  <c r="U277" i="1"/>
  <c r="S277" i="1"/>
  <c r="R277" i="1"/>
  <c r="Q277" i="1"/>
  <c r="P277" i="1"/>
  <c r="H277" i="1"/>
  <c r="U276" i="1"/>
  <c r="S276" i="1"/>
  <c r="R276" i="1"/>
  <c r="Q276" i="1"/>
  <c r="P276" i="1"/>
  <c r="H276" i="1"/>
  <c r="V276" i="1" s="1"/>
  <c r="W276" i="1" s="1"/>
  <c r="U275" i="1"/>
  <c r="S275" i="1"/>
  <c r="R275" i="1"/>
  <c r="Q275" i="1"/>
  <c r="P275" i="1"/>
  <c r="H275" i="1"/>
  <c r="V275" i="1" s="1"/>
  <c r="W275" i="1" s="1"/>
  <c r="U274" i="1"/>
  <c r="S274" i="1"/>
  <c r="R274" i="1"/>
  <c r="Q274" i="1"/>
  <c r="P274" i="1"/>
  <c r="H274" i="1"/>
  <c r="V274" i="1" s="1"/>
  <c r="W274" i="1" s="1"/>
  <c r="U273" i="1"/>
  <c r="S273" i="1"/>
  <c r="R273" i="1"/>
  <c r="Q273" i="1"/>
  <c r="P273" i="1"/>
  <c r="H273" i="1"/>
  <c r="V273" i="1" s="1"/>
  <c r="W273" i="1" s="1"/>
  <c r="W272" i="1"/>
  <c r="V272" i="1"/>
  <c r="U272" i="1"/>
  <c r="S272" i="1"/>
  <c r="R272" i="1"/>
  <c r="Q272" i="1"/>
  <c r="P272" i="1"/>
  <c r="H272" i="1"/>
  <c r="U271" i="1"/>
  <c r="S271" i="1"/>
  <c r="R271" i="1"/>
  <c r="Q271" i="1"/>
  <c r="P271" i="1"/>
  <c r="H271" i="1"/>
  <c r="V271" i="1" s="1"/>
  <c r="W271" i="1" s="1"/>
  <c r="U270" i="1"/>
  <c r="S270" i="1"/>
  <c r="R270" i="1"/>
  <c r="Q270" i="1"/>
  <c r="P270" i="1"/>
  <c r="H270" i="1"/>
  <c r="V270" i="1" s="1"/>
  <c r="W270" i="1" s="1"/>
  <c r="W269" i="1"/>
  <c r="V269" i="1"/>
  <c r="U269" i="1"/>
  <c r="S269" i="1"/>
  <c r="R269" i="1"/>
  <c r="Q269" i="1"/>
  <c r="P269" i="1"/>
  <c r="H269" i="1"/>
  <c r="U268" i="1"/>
  <c r="S268" i="1"/>
  <c r="R268" i="1"/>
  <c r="Q268" i="1"/>
  <c r="P268" i="1"/>
  <c r="H268" i="1"/>
  <c r="V268" i="1" s="1"/>
  <c r="W268" i="1" s="1"/>
  <c r="U267" i="1"/>
  <c r="S267" i="1"/>
  <c r="R267" i="1"/>
  <c r="Q267" i="1"/>
  <c r="P267" i="1"/>
  <c r="H267" i="1"/>
  <c r="V267" i="1" s="1"/>
  <c r="W267" i="1" s="1"/>
  <c r="W266" i="1"/>
  <c r="V266" i="1"/>
  <c r="U266" i="1"/>
  <c r="S266" i="1"/>
  <c r="R266" i="1"/>
  <c r="Q266" i="1"/>
  <c r="P266" i="1"/>
  <c r="H266" i="1"/>
  <c r="U265" i="1"/>
  <c r="S265" i="1"/>
  <c r="R265" i="1"/>
  <c r="Q265" i="1"/>
  <c r="P265" i="1"/>
  <c r="H265" i="1"/>
  <c r="V265" i="1" s="1"/>
  <c r="W265" i="1" s="1"/>
  <c r="U264" i="1"/>
  <c r="S264" i="1"/>
  <c r="R264" i="1"/>
  <c r="Q264" i="1"/>
  <c r="P264" i="1"/>
  <c r="H264" i="1"/>
  <c r="V264" i="1" s="1"/>
  <c r="W264" i="1" s="1"/>
  <c r="U263" i="1"/>
  <c r="S263" i="1"/>
  <c r="R263" i="1"/>
  <c r="Q263" i="1"/>
  <c r="P263" i="1"/>
  <c r="H263" i="1"/>
  <c r="V263" i="1" s="1"/>
  <c r="W263" i="1" s="1"/>
  <c r="U262" i="1"/>
  <c r="S262" i="1"/>
  <c r="R262" i="1"/>
  <c r="Q262" i="1"/>
  <c r="P262" i="1"/>
  <c r="H262" i="1"/>
  <c r="V262" i="1" s="1"/>
  <c r="W262" i="1" s="1"/>
  <c r="U261" i="1"/>
  <c r="S261" i="1"/>
  <c r="R261" i="1"/>
  <c r="Q261" i="1"/>
  <c r="P261" i="1"/>
  <c r="H261" i="1"/>
  <c r="V261" i="1" s="1"/>
  <c r="W261" i="1" s="1"/>
  <c r="W260" i="1"/>
  <c r="V260" i="1"/>
  <c r="U260" i="1"/>
  <c r="S260" i="1"/>
  <c r="R260" i="1"/>
  <c r="Q260" i="1"/>
  <c r="P260" i="1"/>
  <c r="H260" i="1"/>
  <c r="U259" i="1"/>
  <c r="S259" i="1"/>
  <c r="R259" i="1"/>
  <c r="Q259" i="1"/>
  <c r="P259" i="1"/>
  <c r="H259" i="1"/>
  <c r="V259" i="1" s="1"/>
  <c r="W259" i="1" s="1"/>
  <c r="U258" i="1"/>
  <c r="S258" i="1"/>
  <c r="R258" i="1"/>
  <c r="Q258" i="1"/>
  <c r="P258" i="1"/>
  <c r="H258" i="1"/>
  <c r="V258" i="1" s="1"/>
  <c r="W258" i="1" s="1"/>
  <c r="W257" i="1"/>
  <c r="V257" i="1"/>
  <c r="U257" i="1"/>
  <c r="S257" i="1"/>
  <c r="R257" i="1"/>
  <c r="Q257" i="1"/>
  <c r="P257" i="1"/>
  <c r="H257" i="1"/>
  <c r="U256" i="1"/>
  <c r="S256" i="1"/>
  <c r="R256" i="1"/>
  <c r="Q256" i="1"/>
  <c r="P256" i="1"/>
  <c r="H256" i="1"/>
  <c r="V256" i="1" s="1"/>
  <c r="W256" i="1" s="1"/>
  <c r="U255" i="1"/>
  <c r="S255" i="1"/>
  <c r="R255" i="1"/>
  <c r="Q255" i="1"/>
  <c r="P255" i="1"/>
  <c r="H255" i="1"/>
  <c r="V255" i="1" s="1"/>
  <c r="W255" i="1" s="1"/>
  <c r="U254" i="1"/>
  <c r="S254" i="1"/>
  <c r="R254" i="1"/>
  <c r="Q254" i="1"/>
  <c r="P254" i="1"/>
  <c r="H254" i="1"/>
  <c r="V254" i="1" s="1"/>
  <c r="W254" i="1" s="1"/>
  <c r="U253" i="1"/>
  <c r="S253" i="1"/>
  <c r="R253" i="1"/>
  <c r="Q253" i="1"/>
  <c r="P253" i="1"/>
  <c r="H253" i="1"/>
  <c r="V253" i="1" s="1"/>
  <c r="W253" i="1" s="1"/>
  <c r="U252" i="1"/>
  <c r="S252" i="1"/>
  <c r="R252" i="1"/>
  <c r="Q252" i="1"/>
  <c r="P252" i="1"/>
  <c r="H252" i="1"/>
  <c r="V252" i="1" s="1"/>
  <c r="W252" i="1" s="1"/>
  <c r="U251" i="1"/>
  <c r="S251" i="1"/>
  <c r="R251" i="1"/>
  <c r="Q251" i="1"/>
  <c r="P251" i="1"/>
  <c r="H251" i="1"/>
  <c r="V251" i="1" s="1"/>
  <c r="W251" i="1" s="1"/>
  <c r="W250" i="1"/>
  <c r="V250" i="1"/>
  <c r="U250" i="1"/>
  <c r="S250" i="1"/>
  <c r="R250" i="1"/>
  <c r="Q250" i="1"/>
  <c r="P250" i="1"/>
  <c r="H250" i="1"/>
  <c r="U249" i="1"/>
  <c r="S249" i="1"/>
  <c r="R249" i="1"/>
  <c r="Q249" i="1"/>
  <c r="P249" i="1"/>
  <c r="H249" i="1"/>
  <c r="V249" i="1" s="1"/>
  <c r="W249" i="1" s="1"/>
  <c r="W248" i="1"/>
  <c r="V248" i="1"/>
  <c r="U248" i="1"/>
  <c r="S248" i="1"/>
  <c r="R248" i="1"/>
  <c r="Q248" i="1"/>
  <c r="P248" i="1"/>
  <c r="H248" i="1"/>
  <c r="U247" i="1"/>
  <c r="S247" i="1"/>
  <c r="R247" i="1"/>
  <c r="Q247" i="1"/>
  <c r="P247" i="1"/>
  <c r="H247" i="1"/>
  <c r="V247" i="1" s="1"/>
  <c r="W247" i="1" s="1"/>
  <c r="U246" i="1"/>
  <c r="S246" i="1"/>
  <c r="R246" i="1"/>
  <c r="Q246" i="1"/>
  <c r="P246" i="1"/>
  <c r="H246" i="1"/>
  <c r="V246" i="1" s="1"/>
  <c r="W246" i="1" s="1"/>
  <c r="U245" i="1"/>
  <c r="S245" i="1"/>
  <c r="R245" i="1"/>
  <c r="Q245" i="1"/>
  <c r="P245" i="1"/>
  <c r="H245" i="1"/>
  <c r="V245" i="1" s="1"/>
  <c r="W245" i="1" s="1"/>
  <c r="U244" i="1"/>
  <c r="S244" i="1"/>
  <c r="R244" i="1"/>
  <c r="Q244" i="1"/>
  <c r="P244" i="1"/>
  <c r="H244" i="1"/>
  <c r="V244" i="1" s="1"/>
  <c r="W244" i="1" s="1"/>
  <c r="U243" i="1"/>
  <c r="S243" i="1"/>
  <c r="R243" i="1"/>
  <c r="Q243" i="1"/>
  <c r="P243" i="1"/>
  <c r="H243" i="1"/>
  <c r="V243" i="1" s="1"/>
  <c r="W243" i="1" s="1"/>
  <c r="W242" i="1"/>
  <c r="V242" i="1"/>
  <c r="U242" i="1"/>
  <c r="S242" i="1"/>
  <c r="R242" i="1"/>
  <c r="Q242" i="1"/>
  <c r="P242" i="1"/>
  <c r="H242" i="1"/>
  <c r="U241" i="1"/>
  <c r="S241" i="1"/>
  <c r="R241" i="1"/>
  <c r="Q241" i="1"/>
  <c r="P241" i="1"/>
  <c r="H241" i="1"/>
  <c r="V241" i="1" s="1"/>
  <c r="W241" i="1" s="1"/>
  <c r="U240" i="1"/>
  <c r="S240" i="1"/>
  <c r="R240" i="1"/>
  <c r="Q240" i="1"/>
  <c r="P240" i="1"/>
  <c r="H240" i="1"/>
  <c r="V240" i="1" s="1"/>
  <c r="W240" i="1" s="1"/>
  <c r="U239" i="1"/>
  <c r="S239" i="1"/>
  <c r="R239" i="1"/>
  <c r="Q239" i="1"/>
  <c r="P239" i="1"/>
  <c r="H239" i="1"/>
  <c r="V239" i="1" s="1"/>
  <c r="W239" i="1" s="1"/>
  <c r="U238" i="1"/>
  <c r="S238" i="1"/>
  <c r="R238" i="1"/>
  <c r="Q238" i="1"/>
  <c r="P238" i="1"/>
  <c r="H238" i="1"/>
  <c r="V238" i="1" s="1"/>
  <c r="W238" i="1" s="1"/>
  <c r="U237" i="1"/>
  <c r="S237" i="1"/>
  <c r="R237" i="1"/>
  <c r="Q237" i="1"/>
  <c r="P237" i="1"/>
  <c r="H237" i="1"/>
  <c r="V237" i="1" s="1"/>
  <c r="W237" i="1" s="1"/>
  <c r="W236" i="1"/>
  <c r="V236" i="1"/>
  <c r="U236" i="1"/>
  <c r="S236" i="1"/>
  <c r="R236" i="1"/>
  <c r="Q236" i="1"/>
  <c r="P236" i="1"/>
  <c r="H236" i="1"/>
  <c r="U235" i="1"/>
  <c r="S235" i="1"/>
  <c r="R235" i="1"/>
  <c r="Q235" i="1"/>
  <c r="P235" i="1"/>
  <c r="H235" i="1"/>
  <c r="V235" i="1" s="1"/>
  <c r="W235" i="1" s="1"/>
  <c r="U234" i="1"/>
  <c r="S234" i="1"/>
  <c r="R234" i="1"/>
  <c r="Q234" i="1"/>
  <c r="P234" i="1"/>
  <c r="H234" i="1"/>
  <c r="V234" i="1" s="1"/>
  <c r="W234" i="1" s="1"/>
  <c r="U233" i="1"/>
  <c r="S233" i="1"/>
  <c r="R233" i="1"/>
  <c r="Q233" i="1"/>
  <c r="P233" i="1"/>
  <c r="H233" i="1"/>
  <c r="V233" i="1" s="1"/>
  <c r="W233" i="1" s="1"/>
  <c r="U232" i="1"/>
  <c r="S232" i="1"/>
  <c r="R232" i="1"/>
  <c r="Q232" i="1"/>
  <c r="P232" i="1"/>
  <c r="H232" i="1"/>
  <c r="V232" i="1" s="1"/>
  <c r="W232" i="1" s="1"/>
  <c r="U231" i="1"/>
  <c r="S231" i="1"/>
  <c r="R231" i="1"/>
  <c r="Q231" i="1"/>
  <c r="P231" i="1"/>
  <c r="H231" i="1"/>
  <c r="V231" i="1" s="1"/>
  <c r="W231" i="1" s="1"/>
  <c r="U230" i="1"/>
  <c r="S230" i="1"/>
  <c r="R230" i="1"/>
  <c r="Q230" i="1"/>
  <c r="P230" i="1"/>
  <c r="H230" i="1"/>
  <c r="V230" i="1" s="1"/>
  <c r="W230" i="1" s="1"/>
  <c r="U229" i="1"/>
  <c r="S229" i="1"/>
  <c r="R229" i="1"/>
  <c r="Q229" i="1"/>
  <c r="P229" i="1"/>
  <c r="H229" i="1"/>
  <c r="V229" i="1" s="1"/>
  <c r="W229" i="1" s="1"/>
  <c r="W228" i="1"/>
  <c r="U228" i="1"/>
  <c r="S228" i="1"/>
  <c r="R228" i="1"/>
  <c r="P228" i="1"/>
  <c r="H228" i="1"/>
  <c r="U227" i="1"/>
  <c r="S227" i="1"/>
  <c r="R227" i="1"/>
  <c r="Q227" i="1"/>
  <c r="P227" i="1"/>
  <c r="H227" i="1"/>
  <c r="V227" i="1" s="1"/>
  <c r="W227" i="1" s="1"/>
  <c r="W226" i="1"/>
  <c r="V226" i="1"/>
  <c r="U226" i="1"/>
  <c r="S226" i="1"/>
  <c r="R226" i="1"/>
  <c r="Q226" i="1"/>
  <c r="P226" i="1"/>
  <c r="H226" i="1"/>
  <c r="U225" i="1"/>
  <c r="S225" i="1"/>
  <c r="R225" i="1"/>
  <c r="Q225" i="1"/>
  <c r="P225" i="1"/>
  <c r="H225" i="1"/>
  <c r="V225" i="1" s="1"/>
  <c r="W225" i="1" s="1"/>
  <c r="U224" i="1"/>
  <c r="S224" i="1"/>
  <c r="R224" i="1"/>
  <c r="Q224" i="1"/>
  <c r="P224" i="1"/>
  <c r="H224" i="1"/>
  <c r="V224" i="1" s="1"/>
  <c r="W224" i="1" s="1"/>
  <c r="U223" i="1"/>
  <c r="S223" i="1"/>
  <c r="R223" i="1"/>
  <c r="Q223" i="1"/>
  <c r="P223" i="1"/>
  <c r="H223" i="1"/>
  <c r="V223" i="1" s="1"/>
  <c r="W223" i="1" s="1"/>
  <c r="U222" i="1"/>
  <c r="S222" i="1"/>
  <c r="R222" i="1"/>
  <c r="Q222" i="1"/>
  <c r="P222" i="1"/>
  <c r="H222" i="1"/>
  <c r="V222" i="1" s="1"/>
  <c r="W222" i="1" s="1"/>
  <c r="U221" i="1"/>
  <c r="S221" i="1"/>
  <c r="R221" i="1"/>
  <c r="Q221" i="1"/>
  <c r="P221" i="1"/>
  <c r="H221" i="1"/>
  <c r="V221" i="1" s="1"/>
  <c r="W221" i="1" s="1"/>
  <c r="U220" i="1"/>
  <c r="S220" i="1"/>
  <c r="R220" i="1"/>
  <c r="Q220" i="1"/>
  <c r="P220" i="1"/>
  <c r="H220" i="1"/>
  <c r="V220" i="1" s="1"/>
  <c r="W220" i="1" s="1"/>
  <c r="U219" i="1"/>
  <c r="S219" i="1"/>
  <c r="R219" i="1"/>
  <c r="Q219" i="1"/>
  <c r="P219" i="1"/>
  <c r="H219" i="1"/>
  <c r="V219" i="1" s="1"/>
  <c r="W219" i="1" s="1"/>
  <c r="U218" i="1"/>
  <c r="S218" i="1"/>
  <c r="R218" i="1"/>
  <c r="Q218" i="1"/>
  <c r="P218" i="1"/>
  <c r="H218" i="1"/>
  <c r="V218" i="1" s="1"/>
  <c r="W218" i="1" s="1"/>
  <c r="U217" i="1"/>
  <c r="S217" i="1"/>
  <c r="R217" i="1"/>
  <c r="Q217" i="1"/>
  <c r="P217" i="1"/>
  <c r="H217" i="1"/>
  <c r="V217" i="1" s="1"/>
  <c r="W217" i="1" s="1"/>
  <c r="U216" i="1"/>
  <c r="S216" i="1"/>
  <c r="R216" i="1"/>
  <c r="Q216" i="1"/>
  <c r="P216" i="1"/>
  <c r="H216" i="1"/>
  <c r="V216" i="1" s="1"/>
  <c r="W216" i="1" s="1"/>
  <c r="W215" i="1"/>
  <c r="V215" i="1"/>
  <c r="U215" i="1"/>
  <c r="S215" i="1"/>
  <c r="R215" i="1"/>
  <c r="Q215" i="1"/>
  <c r="P215" i="1"/>
  <c r="H215" i="1"/>
  <c r="W214" i="1"/>
  <c r="V214" i="1"/>
  <c r="U214" i="1"/>
  <c r="S214" i="1"/>
  <c r="R214" i="1"/>
  <c r="Q214" i="1"/>
  <c r="P214" i="1"/>
  <c r="H214" i="1"/>
  <c r="U213" i="1"/>
  <c r="S213" i="1"/>
  <c r="R213" i="1"/>
  <c r="Q213" i="1"/>
  <c r="P213" i="1"/>
  <c r="H213" i="1"/>
  <c r="V213" i="1" s="1"/>
  <c r="W213" i="1" s="1"/>
  <c r="U212" i="1"/>
  <c r="S212" i="1"/>
  <c r="R212" i="1"/>
  <c r="Q212" i="1"/>
  <c r="P212" i="1"/>
  <c r="H212" i="1"/>
  <c r="V212" i="1" s="1"/>
  <c r="W212" i="1" s="1"/>
  <c r="U211" i="1"/>
  <c r="S211" i="1"/>
  <c r="R211" i="1"/>
  <c r="Q211" i="1"/>
  <c r="P211" i="1"/>
  <c r="H211" i="1"/>
  <c r="V211" i="1" s="1"/>
  <c r="W211" i="1" s="1"/>
  <c r="U210" i="1"/>
  <c r="S210" i="1"/>
  <c r="R210" i="1"/>
  <c r="Q210" i="1"/>
  <c r="P210" i="1"/>
  <c r="H210" i="1"/>
  <c r="V210" i="1" s="1"/>
  <c r="W210" i="1" s="1"/>
  <c r="U209" i="1"/>
  <c r="S209" i="1"/>
  <c r="R209" i="1"/>
  <c r="Q209" i="1"/>
  <c r="P209" i="1"/>
  <c r="H209" i="1"/>
  <c r="V209" i="1" s="1"/>
  <c r="W209" i="1" s="1"/>
  <c r="W208" i="1"/>
  <c r="V208" i="1"/>
  <c r="U208" i="1"/>
  <c r="S208" i="1"/>
  <c r="R208" i="1"/>
  <c r="Q208" i="1"/>
  <c r="P208" i="1"/>
  <c r="H208" i="1"/>
  <c r="U207" i="1"/>
  <c r="S207" i="1"/>
  <c r="R207" i="1"/>
  <c r="Q207" i="1"/>
  <c r="P207" i="1"/>
  <c r="H207" i="1"/>
  <c r="V207" i="1" s="1"/>
  <c r="W207" i="1" s="1"/>
  <c r="U206" i="1"/>
  <c r="S206" i="1"/>
  <c r="R206" i="1"/>
  <c r="Q206" i="1"/>
  <c r="P206" i="1"/>
  <c r="H206" i="1"/>
  <c r="V206" i="1" s="1"/>
  <c r="W206" i="1" s="1"/>
  <c r="W205" i="1"/>
  <c r="V205" i="1"/>
  <c r="U205" i="1"/>
  <c r="S205" i="1"/>
  <c r="R205" i="1"/>
  <c r="Q205" i="1"/>
  <c r="P205" i="1"/>
  <c r="H205" i="1"/>
  <c r="U204" i="1"/>
  <c r="S204" i="1"/>
  <c r="R204" i="1"/>
  <c r="Q204" i="1"/>
  <c r="P204" i="1"/>
  <c r="H204" i="1"/>
  <c r="V204" i="1" s="1"/>
  <c r="W204" i="1" s="1"/>
  <c r="U203" i="1"/>
  <c r="S203" i="1"/>
  <c r="R203" i="1"/>
  <c r="Q203" i="1"/>
  <c r="P203" i="1"/>
  <c r="H203" i="1"/>
  <c r="V203" i="1" s="1"/>
  <c r="W203" i="1" s="1"/>
  <c r="U202" i="1"/>
  <c r="S202" i="1"/>
  <c r="R202" i="1"/>
  <c r="Q202" i="1"/>
  <c r="P202" i="1"/>
  <c r="H202" i="1"/>
  <c r="V202" i="1" s="1"/>
  <c r="W202" i="1" s="1"/>
  <c r="W201" i="1"/>
  <c r="V201" i="1"/>
  <c r="U201" i="1"/>
  <c r="S201" i="1"/>
  <c r="R201" i="1"/>
  <c r="Q201" i="1"/>
  <c r="P201" i="1"/>
  <c r="H201" i="1"/>
  <c r="U200" i="1"/>
  <c r="S200" i="1"/>
  <c r="R200" i="1"/>
  <c r="Q200" i="1"/>
  <c r="P200" i="1"/>
  <c r="H200" i="1"/>
  <c r="V200" i="1" s="1"/>
  <c r="W200" i="1" s="1"/>
  <c r="W199" i="1"/>
  <c r="V199" i="1"/>
  <c r="U199" i="1"/>
  <c r="S199" i="1"/>
  <c r="R199" i="1"/>
  <c r="Q199" i="1"/>
  <c r="P199" i="1"/>
  <c r="H199" i="1"/>
  <c r="W198" i="1"/>
  <c r="V198" i="1"/>
  <c r="U198" i="1"/>
  <c r="S198" i="1"/>
  <c r="R198" i="1"/>
  <c r="Q198" i="1"/>
  <c r="P198" i="1"/>
  <c r="H198" i="1"/>
  <c r="U197" i="1"/>
  <c r="S197" i="1"/>
  <c r="R197" i="1"/>
  <c r="Q197" i="1"/>
  <c r="P197" i="1"/>
  <c r="H197" i="1"/>
  <c r="V197" i="1" s="1"/>
  <c r="W197" i="1" s="1"/>
  <c r="U196" i="1"/>
  <c r="S196" i="1"/>
  <c r="R196" i="1"/>
  <c r="Q196" i="1"/>
  <c r="P196" i="1"/>
  <c r="H196" i="1"/>
  <c r="V196" i="1" s="1"/>
  <c r="W196" i="1" s="1"/>
  <c r="W195" i="1"/>
  <c r="V195" i="1"/>
  <c r="U195" i="1"/>
  <c r="S195" i="1"/>
  <c r="R195" i="1"/>
  <c r="Q195" i="1"/>
  <c r="P195" i="1"/>
  <c r="H195" i="1"/>
  <c r="U194" i="1"/>
  <c r="S194" i="1"/>
  <c r="R194" i="1"/>
  <c r="Q194" i="1"/>
  <c r="P194" i="1"/>
  <c r="H194" i="1"/>
  <c r="V194" i="1" s="1"/>
  <c r="W194" i="1" s="1"/>
  <c r="W193" i="1"/>
  <c r="V193" i="1"/>
  <c r="U193" i="1"/>
  <c r="S193" i="1"/>
  <c r="R193" i="1"/>
  <c r="Q193" i="1"/>
  <c r="P193" i="1"/>
  <c r="H193" i="1"/>
  <c r="U192" i="1"/>
  <c r="S192" i="1"/>
  <c r="R192" i="1"/>
  <c r="Q192" i="1"/>
  <c r="P192" i="1"/>
  <c r="H192" i="1"/>
  <c r="V192" i="1" s="1"/>
  <c r="W192" i="1" s="1"/>
  <c r="U191" i="1"/>
  <c r="S191" i="1"/>
  <c r="R191" i="1"/>
  <c r="Q191" i="1"/>
  <c r="P191" i="1"/>
  <c r="H191" i="1"/>
  <c r="V191" i="1" s="1"/>
  <c r="W191" i="1" s="1"/>
  <c r="W190" i="1"/>
  <c r="V190" i="1"/>
  <c r="U190" i="1"/>
  <c r="S190" i="1"/>
  <c r="R190" i="1"/>
  <c r="Q190" i="1"/>
  <c r="P190" i="1"/>
  <c r="H190" i="1"/>
  <c r="W189" i="1"/>
  <c r="V189" i="1"/>
  <c r="U189" i="1"/>
  <c r="S189" i="1"/>
  <c r="R189" i="1"/>
  <c r="Q189" i="1"/>
  <c r="P189" i="1"/>
  <c r="H189" i="1"/>
  <c r="U188" i="1"/>
  <c r="S188" i="1"/>
  <c r="R188" i="1"/>
  <c r="Q188" i="1"/>
  <c r="P188" i="1"/>
  <c r="H188" i="1"/>
  <c r="V188" i="1" s="1"/>
  <c r="W188" i="1" s="1"/>
  <c r="U187" i="1"/>
  <c r="S187" i="1"/>
  <c r="R187" i="1"/>
  <c r="Q187" i="1"/>
  <c r="P187" i="1"/>
  <c r="H187" i="1"/>
  <c r="V187" i="1" s="1"/>
  <c r="W187" i="1" s="1"/>
  <c r="U186" i="1"/>
  <c r="S186" i="1"/>
  <c r="R186" i="1"/>
  <c r="Q186" i="1"/>
  <c r="P186" i="1"/>
  <c r="H186" i="1"/>
  <c r="V186" i="1" s="1"/>
  <c r="W186" i="1" s="1"/>
  <c r="W185" i="1"/>
  <c r="V185" i="1"/>
  <c r="U185" i="1"/>
  <c r="S185" i="1"/>
  <c r="R185" i="1"/>
  <c r="Q185" i="1"/>
  <c r="P185" i="1"/>
  <c r="H185" i="1"/>
  <c r="U184" i="1"/>
  <c r="S184" i="1"/>
  <c r="R184" i="1"/>
  <c r="Q184" i="1"/>
  <c r="P184" i="1"/>
  <c r="H184" i="1"/>
  <c r="V184" i="1" s="1"/>
  <c r="W184" i="1" s="1"/>
  <c r="U183" i="1"/>
  <c r="S183" i="1"/>
  <c r="R183" i="1"/>
  <c r="Q183" i="1"/>
  <c r="P183" i="1"/>
  <c r="H183" i="1"/>
  <c r="V183" i="1" s="1"/>
  <c r="W183" i="1" s="1"/>
  <c r="U182" i="1"/>
  <c r="S182" i="1"/>
  <c r="R182" i="1"/>
  <c r="Q182" i="1"/>
  <c r="P182" i="1"/>
  <c r="H182" i="1"/>
  <c r="V182" i="1" s="1"/>
  <c r="W182" i="1" s="1"/>
  <c r="U181" i="1"/>
  <c r="S181" i="1"/>
  <c r="R181" i="1"/>
  <c r="Q181" i="1"/>
  <c r="P181" i="1"/>
  <c r="H181" i="1"/>
  <c r="V181" i="1" s="1"/>
  <c r="W181" i="1" s="1"/>
  <c r="U180" i="1"/>
  <c r="S180" i="1"/>
  <c r="R180" i="1"/>
  <c r="Q180" i="1"/>
  <c r="P180" i="1"/>
  <c r="H180" i="1"/>
  <c r="V180" i="1" s="1"/>
  <c r="W180" i="1" s="1"/>
  <c r="U179" i="1"/>
  <c r="S179" i="1"/>
  <c r="R179" i="1"/>
  <c r="Q179" i="1"/>
  <c r="P179" i="1"/>
  <c r="H179" i="1"/>
  <c r="V179" i="1" s="1"/>
  <c r="W179" i="1" s="1"/>
  <c r="U178" i="1"/>
  <c r="S178" i="1"/>
  <c r="R178" i="1"/>
  <c r="Q178" i="1"/>
  <c r="P178" i="1"/>
  <c r="H178" i="1"/>
  <c r="V178" i="1" s="1"/>
  <c r="W178" i="1" s="1"/>
  <c r="U177" i="1"/>
  <c r="S177" i="1"/>
  <c r="R177" i="1"/>
  <c r="Q177" i="1"/>
  <c r="P177" i="1"/>
  <c r="H177" i="1"/>
  <c r="V177" i="1" s="1"/>
  <c r="W177" i="1" s="1"/>
  <c r="W176" i="1"/>
  <c r="V176" i="1"/>
  <c r="U176" i="1"/>
  <c r="S176" i="1"/>
  <c r="R176" i="1"/>
  <c r="Q176" i="1"/>
  <c r="P176" i="1"/>
  <c r="H176" i="1"/>
  <c r="U175" i="1"/>
  <c r="S175" i="1"/>
  <c r="R175" i="1"/>
  <c r="Q175" i="1"/>
  <c r="P175" i="1"/>
  <c r="H175" i="1"/>
  <c r="V175" i="1" s="1"/>
  <c r="W175" i="1" s="1"/>
  <c r="U174" i="1"/>
  <c r="S174" i="1"/>
  <c r="R174" i="1"/>
  <c r="Q174" i="1"/>
  <c r="P174" i="1"/>
  <c r="H174" i="1"/>
  <c r="V174" i="1" s="1"/>
  <c r="W174" i="1" s="1"/>
  <c r="W173" i="1"/>
  <c r="U173" i="1"/>
  <c r="S173" i="1"/>
  <c r="R173" i="1"/>
  <c r="P173" i="1"/>
  <c r="H173" i="1"/>
  <c r="U172" i="1"/>
  <c r="S172" i="1"/>
  <c r="R172" i="1"/>
  <c r="Q172" i="1"/>
  <c r="P172" i="1"/>
  <c r="H172" i="1"/>
  <c r="V172" i="1" s="1"/>
  <c r="W172" i="1" s="1"/>
  <c r="W171" i="1"/>
  <c r="V171" i="1"/>
  <c r="U171" i="1"/>
  <c r="S171" i="1"/>
  <c r="R171" i="1"/>
  <c r="Q171" i="1"/>
  <c r="P171" i="1"/>
  <c r="H171" i="1"/>
  <c r="U170" i="1"/>
  <c r="S170" i="1"/>
  <c r="R170" i="1"/>
  <c r="Q170" i="1"/>
  <c r="P170" i="1"/>
  <c r="H170" i="1"/>
  <c r="V170" i="1" s="1"/>
  <c r="W170" i="1" s="1"/>
  <c r="U169" i="1"/>
  <c r="S169" i="1"/>
  <c r="R169" i="1"/>
  <c r="Q169" i="1"/>
  <c r="P169" i="1"/>
  <c r="H169" i="1"/>
  <c r="V169" i="1" s="1"/>
  <c r="W169" i="1" s="1"/>
  <c r="U168" i="1"/>
  <c r="S168" i="1"/>
  <c r="R168" i="1"/>
  <c r="Q168" i="1"/>
  <c r="P168" i="1"/>
  <c r="H168" i="1"/>
  <c r="V168" i="1" s="1"/>
  <c r="W168" i="1" s="1"/>
  <c r="U167" i="1"/>
  <c r="S167" i="1"/>
  <c r="R167" i="1"/>
  <c r="Q167" i="1"/>
  <c r="P167" i="1"/>
  <c r="H167" i="1"/>
  <c r="V167" i="1" s="1"/>
  <c r="W167" i="1" s="1"/>
  <c r="U166" i="1"/>
  <c r="S166" i="1"/>
  <c r="R166" i="1"/>
  <c r="Q166" i="1"/>
  <c r="P166" i="1"/>
  <c r="H166" i="1"/>
  <c r="V166" i="1" s="1"/>
  <c r="W166" i="1" s="1"/>
  <c r="W165" i="1"/>
  <c r="V165" i="1"/>
  <c r="U165" i="1"/>
  <c r="S165" i="1"/>
  <c r="R165" i="1"/>
  <c r="Q165" i="1"/>
  <c r="P165" i="1"/>
  <c r="H165" i="1"/>
  <c r="W164" i="1"/>
  <c r="V164" i="1"/>
  <c r="U164" i="1"/>
  <c r="S164" i="1"/>
  <c r="R164" i="1"/>
  <c r="Q164" i="1"/>
  <c r="P164" i="1"/>
  <c r="H164" i="1"/>
  <c r="W163" i="1"/>
  <c r="V163" i="1"/>
  <c r="U163" i="1"/>
  <c r="S163" i="1"/>
  <c r="R163" i="1"/>
  <c r="Q163" i="1"/>
  <c r="P163" i="1"/>
  <c r="H163" i="1"/>
  <c r="U162" i="1"/>
  <c r="S162" i="1"/>
  <c r="R162" i="1"/>
  <c r="Q162" i="1"/>
  <c r="P162" i="1"/>
  <c r="H162" i="1"/>
  <c r="V162" i="1" s="1"/>
  <c r="W162" i="1" s="1"/>
  <c r="W161" i="1"/>
  <c r="V161" i="1"/>
  <c r="U161" i="1"/>
  <c r="S161" i="1"/>
  <c r="R161" i="1"/>
  <c r="Q161" i="1"/>
  <c r="P161" i="1"/>
  <c r="H161" i="1"/>
  <c r="U160" i="1"/>
  <c r="S160" i="1"/>
  <c r="R160" i="1"/>
  <c r="Q160" i="1"/>
  <c r="P160" i="1"/>
  <c r="H160" i="1"/>
  <c r="V160" i="1" s="1"/>
  <c r="W160" i="1" s="1"/>
  <c r="U159" i="1"/>
  <c r="S159" i="1"/>
  <c r="R159" i="1"/>
  <c r="Q159" i="1"/>
  <c r="P159" i="1"/>
  <c r="H159" i="1"/>
  <c r="V159" i="1" s="1"/>
  <c r="W159" i="1" s="1"/>
  <c r="U158" i="1"/>
  <c r="S158" i="1"/>
  <c r="R158" i="1"/>
  <c r="Q158" i="1"/>
  <c r="P158" i="1"/>
  <c r="H158" i="1"/>
  <c r="V158" i="1" s="1"/>
  <c r="W158" i="1" s="1"/>
  <c r="W157" i="1"/>
  <c r="V157" i="1"/>
  <c r="U157" i="1"/>
  <c r="S157" i="1"/>
  <c r="R157" i="1"/>
  <c r="Q157" i="1"/>
  <c r="P157" i="1"/>
  <c r="H157" i="1"/>
  <c r="U156" i="1"/>
  <c r="S156" i="1"/>
  <c r="R156" i="1"/>
  <c r="Q156" i="1"/>
  <c r="P156" i="1"/>
  <c r="H156" i="1"/>
  <c r="V156" i="1" s="1"/>
  <c r="W156" i="1" s="1"/>
  <c r="U155" i="1"/>
  <c r="S155" i="1"/>
  <c r="R155" i="1"/>
  <c r="Q155" i="1"/>
  <c r="P155" i="1"/>
  <c r="H155" i="1"/>
  <c r="V155" i="1" s="1"/>
  <c r="W155" i="1" s="1"/>
  <c r="W154" i="1"/>
  <c r="V154" i="1"/>
  <c r="U154" i="1"/>
  <c r="S154" i="1"/>
  <c r="R154" i="1"/>
  <c r="Q154" i="1"/>
  <c r="P154" i="1"/>
  <c r="H154" i="1"/>
  <c r="U153" i="1"/>
  <c r="S153" i="1"/>
  <c r="R153" i="1"/>
  <c r="Q153" i="1"/>
  <c r="P153" i="1"/>
  <c r="H153" i="1"/>
  <c r="V153" i="1" s="1"/>
  <c r="W153" i="1" s="1"/>
  <c r="U152" i="1"/>
  <c r="S152" i="1"/>
  <c r="R152" i="1"/>
  <c r="Q152" i="1"/>
  <c r="P152" i="1"/>
  <c r="H152" i="1"/>
  <c r="V152" i="1" s="1"/>
  <c r="W152" i="1" s="1"/>
  <c r="U151" i="1"/>
  <c r="S151" i="1"/>
  <c r="R151" i="1"/>
  <c r="Q151" i="1"/>
  <c r="P151" i="1"/>
  <c r="H151" i="1"/>
  <c r="V151" i="1" s="1"/>
  <c r="W151" i="1" s="1"/>
  <c r="U150" i="1"/>
  <c r="S150" i="1"/>
  <c r="R150" i="1"/>
  <c r="Q150" i="1"/>
  <c r="P150" i="1"/>
  <c r="H150" i="1"/>
  <c r="V150" i="1" s="1"/>
  <c r="W150" i="1" s="1"/>
  <c r="U149" i="1"/>
  <c r="S149" i="1"/>
  <c r="R149" i="1"/>
  <c r="Q149" i="1"/>
  <c r="P149" i="1"/>
  <c r="H149" i="1"/>
  <c r="V149" i="1" s="1"/>
  <c r="W149" i="1" s="1"/>
  <c r="U148" i="1"/>
  <c r="S148" i="1"/>
  <c r="R148" i="1"/>
  <c r="Q148" i="1"/>
  <c r="P148" i="1"/>
  <c r="H148" i="1"/>
  <c r="V148" i="1" s="1"/>
  <c r="W148" i="1" s="1"/>
  <c r="U147" i="1"/>
  <c r="S147" i="1"/>
  <c r="R147" i="1"/>
  <c r="Q147" i="1"/>
  <c r="P147" i="1"/>
  <c r="H147" i="1"/>
  <c r="V147" i="1" s="1"/>
  <c r="W147" i="1" s="1"/>
  <c r="U146" i="1"/>
  <c r="S146" i="1"/>
  <c r="R146" i="1"/>
  <c r="Q146" i="1"/>
  <c r="P146" i="1"/>
  <c r="H146" i="1"/>
  <c r="V146" i="1" s="1"/>
  <c r="W146" i="1" s="1"/>
  <c r="U145" i="1"/>
  <c r="S145" i="1"/>
  <c r="R145" i="1"/>
  <c r="Q145" i="1"/>
  <c r="P145" i="1"/>
  <c r="H145" i="1"/>
  <c r="V145" i="1" s="1"/>
  <c r="W145" i="1" s="1"/>
  <c r="U144" i="1"/>
  <c r="S144" i="1"/>
  <c r="R144" i="1"/>
  <c r="Q144" i="1"/>
  <c r="P144" i="1"/>
  <c r="H144" i="1"/>
  <c r="V144" i="1" s="1"/>
  <c r="W144" i="1" s="1"/>
  <c r="U143" i="1"/>
  <c r="S143" i="1"/>
  <c r="R143" i="1"/>
  <c r="Q143" i="1"/>
  <c r="P143" i="1"/>
  <c r="H143" i="1"/>
  <c r="V143" i="1" s="1"/>
  <c r="W143" i="1" s="1"/>
  <c r="W142" i="1"/>
  <c r="V142" i="1"/>
  <c r="U142" i="1"/>
  <c r="S142" i="1"/>
  <c r="R142" i="1"/>
  <c r="Q142" i="1"/>
  <c r="P142" i="1"/>
  <c r="H142" i="1"/>
  <c r="W141" i="1"/>
  <c r="V141" i="1"/>
  <c r="U141" i="1"/>
  <c r="S141" i="1"/>
  <c r="R141" i="1"/>
  <c r="Q141" i="1"/>
  <c r="P141" i="1"/>
  <c r="H141" i="1"/>
  <c r="W140" i="1"/>
  <c r="V140" i="1"/>
  <c r="U140" i="1"/>
  <c r="S140" i="1"/>
  <c r="R140" i="1"/>
  <c r="Q140" i="1"/>
  <c r="P140" i="1"/>
  <c r="H140" i="1"/>
  <c r="U139" i="1"/>
  <c r="S139" i="1"/>
  <c r="R139" i="1"/>
  <c r="Q139" i="1"/>
  <c r="P139" i="1"/>
  <c r="H139" i="1"/>
  <c r="V139" i="1" s="1"/>
  <c r="W139" i="1" s="1"/>
  <c r="U138" i="1"/>
  <c r="S138" i="1"/>
  <c r="R138" i="1"/>
  <c r="Q138" i="1"/>
  <c r="P138" i="1"/>
  <c r="H138" i="1"/>
  <c r="V138" i="1" s="1"/>
  <c r="W138" i="1" s="1"/>
  <c r="U137" i="1"/>
  <c r="S137" i="1"/>
  <c r="R137" i="1"/>
  <c r="Q137" i="1"/>
  <c r="P137" i="1"/>
  <c r="H137" i="1"/>
  <c r="V137" i="1" s="1"/>
  <c r="W137" i="1" s="1"/>
  <c r="U136" i="1"/>
  <c r="S136" i="1"/>
  <c r="R136" i="1"/>
  <c r="Q136" i="1"/>
  <c r="P136" i="1"/>
  <c r="H136" i="1"/>
  <c r="V136" i="1" s="1"/>
  <c r="W136" i="1" s="1"/>
  <c r="U135" i="1"/>
  <c r="S135" i="1"/>
  <c r="R135" i="1"/>
  <c r="Q135" i="1"/>
  <c r="P135" i="1"/>
  <c r="H135" i="1"/>
  <c r="V135" i="1" s="1"/>
  <c r="W135" i="1" s="1"/>
  <c r="W134" i="1"/>
  <c r="V134" i="1"/>
  <c r="U134" i="1"/>
  <c r="S134" i="1"/>
  <c r="R134" i="1"/>
  <c r="Q134" i="1"/>
  <c r="P134" i="1"/>
  <c r="H134" i="1"/>
  <c r="W133" i="1"/>
  <c r="V133" i="1"/>
  <c r="U133" i="1"/>
  <c r="S133" i="1"/>
  <c r="R133" i="1"/>
  <c r="Q133" i="1"/>
  <c r="P133" i="1"/>
  <c r="H133" i="1"/>
  <c r="U132" i="1"/>
  <c r="S132" i="1"/>
  <c r="R132" i="1"/>
  <c r="Q132" i="1"/>
  <c r="P132" i="1"/>
  <c r="H132" i="1"/>
  <c r="V132" i="1" s="1"/>
  <c r="W132" i="1" s="1"/>
  <c r="U131" i="1"/>
  <c r="S131" i="1"/>
  <c r="R131" i="1"/>
  <c r="Q131" i="1"/>
  <c r="P131" i="1"/>
  <c r="H131" i="1"/>
  <c r="V131" i="1" s="1"/>
  <c r="W131" i="1" s="1"/>
  <c r="U130" i="1"/>
  <c r="S130" i="1"/>
  <c r="R130" i="1"/>
  <c r="Q130" i="1"/>
  <c r="P130" i="1"/>
  <c r="H130" i="1"/>
  <c r="V130" i="1" s="1"/>
  <c r="W130" i="1" s="1"/>
  <c r="U129" i="1"/>
  <c r="S129" i="1"/>
  <c r="R129" i="1"/>
  <c r="Q129" i="1"/>
  <c r="P129" i="1"/>
  <c r="H129" i="1"/>
  <c r="V129" i="1" s="1"/>
  <c r="W129" i="1" s="1"/>
  <c r="U128" i="1"/>
  <c r="S128" i="1"/>
  <c r="R128" i="1"/>
  <c r="Q128" i="1"/>
  <c r="P128" i="1"/>
  <c r="H128" i="1"/>
  <c r="V128" i="1" s="1"/>
  <c r="W128" i="1" s="1"/>
  <c r="U127" i="1"/>
  <c r="S127" i="1"/>
  <c r="R127" i="1"/>
  <c r="Q127" i="1"/>
  <c r="P127" i="1"/>
  <c r="H127" i="1"/>
  <c r="V127" i="1" s="1"/>
  <c r="W127" i="1" s="1"/>
  <c r="U126" i="1"/>
  <c r="S126" i="1"/>
  <c r="R126" i="1"/>
  <c r="Q126" i="1"/>
  <c r="P126" i="1"/>
  <c r="H126" i="1"/>
  <c r="V126" i="1" s="1"/>
  <c r="W126" i="1" s="1"/>
  <c r="W125" i="1"/>
  <c r="V125" i="1"/>
  <c r="U125" i="1"/>
  <c r="S125" i="1"/>
  <c r="R125" i="1"/>
  <c r="Q125" i="1"/>
  <c r="P125" i="1"/>
  <c r="H125" i="1"/>
  <c r="U124" i="1"/>
  <c r="S124" i="1"/>
  <c r="R124" i="1"/>
  <c r="Q124" i="1"/>
  <c r="P124" i="1"/>
  <c r="H124" i="1"/>
  <c r="V124" i="1" s="1"/>
  <c r="W124" i="1" s="1"/>
  <c r="W123" i="1"/>
  <c r="U123" i="1"/>
  <c r="S123" i="1"/>
  <c r="R123" i="1"/>
  <c r="P123" i="1"/>
  <c r="H123" i="1"/>
  <c r="W122" i="1"/>
  <c r="V122" i="1"/>
  <c r="U122" i="1"/>
  <c r="S122" i="1"/>
  <c r="R122" i="1"/>
  <c r="Q122" i="1"/>
  <c r="P122" i="1"/>
  <c r="H122" i="1"/>
  <c r="U121" i="1"/>
  <c r="S121" i="1"/>
  <c r="R121" i="1"/>
  <c r="Q121" i="1"/>
  <c r="P121" i="1"/>
  <c r="H121" i="1"/>
  <c r="V121" i="1" s="1"/>
  <c r="W121" i="1" s="1"/>
  <c r="U120" i="1"/>
  <c r="S120" i="1"/>
  <c r="R120" i="1"/>
  <c r="Q120" i="1"/>
  <c r="P120" i="1"/>
  <c r="H120" i="1"/>
  <c r="V120" i="1" s="1"/>
  <c r="W120" i="1" s="1"/>
  <c r="U119" i="1"/>
  <c r="S119" i="1"/>
  <c r="R119" i="1"/>
  <c r="Q119" i="1"/>
  <c r="P119" i="1"/>
  <c r="H119" i="1"/>
  <c r="V119" i="1" s="1"/>
  <c r="W119" i="1" s="1"/>
  <c r="W118" i="1"/>
  <c r="V118" i="1"/>
  <c r="U118" i="1"/>
  <c r="S118" i="1"/>
  <c r="R118" i="1"/>
  <c r="Q118" i="1"/>
  <c r="P118" i="1"/>
  <c r="H118" i="1"/>
  <c r="U117" i="1"/>
  <c r="S117" i="1"/>
  <c r="R117" i="1"/>
  <c r="Q117" i="1"/>
  <c r="P117" i="1"/>
  <c r="H117" i="1"/>
  <c r="V117" i="1" s="1"/>
  <c r="W117" i="1" s="1"/>
  <c r="U116" i="1"/>
  <c r="S116" i="1"/>
  <c r="R116" i="1"/>
  <c r="Q116" i="1"/>
  <c r="P116" i="1"/>
  <c r="H116" i="1"/>
  <c r="V116" i="1" s="1"/>
  <c r="W116" i="1" s="1"/>
  <c r="W115" i="1"/>
  <c r="V115" i="1"/>
  <c r="U115" i="1"/>
  <c r="S115" i="1"/>
  <c r="R115" i="1"/>
  <c r="Q115" i="1"/>
  <c r="P115" i="1"/>
  <c r="H115" i="1"/>
  <c r="U114" i="1"/>
  <c r="S114" i="1"/>
  <c r="R114" i="1"/>
  <c r="Q114" i="1"/>
  <c r="P114" i="1"/>
  <c r="H114" i="1"/>
  <c r="V114" i="1" s="1"/>
  <c r="W114" i="1" s="1"/>
  <c r="U113" i="1"/>
  <c r="S113" i="1"/>
  <c r="R113" i="1"/>
  <c r="Q113" i="1"/>
  <c r="P113" i="1"/>
  <c r="H113" i="1"/>
  <c r="V113" i="1" s="1"/>
  <c r="W113" i="1" s="1"/>
  <c r="U112" i="1"/>
  <c r="S112" i="1"/>
  <c r="R112" i="1"/>
  <c r="Q112" i="1"/>
  <c r="P112" i="1"/>
  <c r="H112" i="1"/>
  <c r="V112" i="1" s="1"/>
  <c r="W112" i="1" s="1"/>
  <c r="U111" i="1"/>
  <c r="S111" i="1"/>
  <c r="R111" i="1"/>
  <c r="Q111" i="1"/>
  <c r="P111" i="1"/>
  <c r="H111" i="1"/>
  <c r="V111" i="1" s="1"/>
  <c r="W111" i="1" s="1"/>
  <c r="U110" i="1"/>
  <c r="S110" i="1"/>
  <c r="R110" i="1"/>
  <c r="Q110" i="1"/>
  <c r="P110" i="1"/>
  <c r="H110" i="1"/>
  <c r="V110" i="1" s="1"/>
  <c r="W110" i="1" s="1"/>
  <c r="U109" i="1"/>
  <c r="S109" i="1"/>
  <c r="R109" i="1"/>
  <c r="Q109" i="1"/>
  <c r="P109" i="1"/>
  <c r="H109" i="1"/>
  <c r="V109" i="1" s="1"/>
  <c r="W109" i="1" s="1"/>
  <c r="W108" i="1"/>
  <c r="U108" i="1"/>
  <c r="S108" i="1"/>
  <c r="R108" i="1"/>
  <c r="P108" i="1"/>
  <c r="H108" i="1"/>
  <c r="U107" i="1"/>
  <c r="S107" i="1"/>
  <c r="R107" i="1"/>
  <c r="Q107" i="1"/>
  <c r="P107" i="1"/>
  <c r="H107" i="1"/>
  <c r="V107" i="1" s="1"/>
  <c r="W107" i="1" s="1"/>
  <c r="U106" i="1"/>
  <c r="S106" i="1"/>
  <c r="R106" i="1"/>
  <c r="Q106" i="1"/>
  <c r="P106" i="1"/>
  <c r="H106" i="1"/>
  <c r="V106" i="1" s="1"/>
  <c r="W106" i="1" s="1"/>
  <c r="U105" i="1"/>
  <c r="S105" i="1"/>
  <c r="R105" i="1"/>
  <c r="Q105" i="1"/>
  <c r="P105" i="1"/>
  <c r="H105" i="1"/>
  <c r="V105" i="1" s="1"/>
  <c r="W105" i="1" s="1"/>
  <c r="U104" i="1"/>
  <c r="S104" i="1"/>
  <c r="R104" i="1"/>
  <c r="Q104" i="1"/>
  <c r="P104" i="1"/>
  <c r="H104" i="1"/>
  <c r="V104" i="1" s="1"/>
  <c r="W104" i="1" s="1"/>
  <c r="U103" i="1"/>
  <c r="S103" i="1"/>
  <c r="R103" i="1"/>
  <c r="Q103" i="1"/>
  <c r="P103" i="1"/>
  <c r="H103" i="1"/>
  <c r="V103" i="1" s="1"/>
  <c r="W103" i="1" s="1"/>
  <c r="U102" i="1"/>
  <c r="S102" i="1"/>
  <c r="R102" i="1"/>
  <c r="Q102" i="1"/>
  <c r="P102" i="1"/>
  <c r="H102" i="1"/>
  <c r="V102" i="1" s="1"/>
  <c r="W102" i="1" s="1"/>
  <c r="U101" i="1"/>
  <c r="S101" i="1"/>
  <c r="R101" i="1"/>
  <c r="Q101" i="1"/>
  <c r="P101" i="1"/>
  <c r="H101" i="1"/>
  <c r="V101" i="1" s="1"/>
  <c r="W101" i="1" s="1"/>
  <c r="W100" i="1"/>
  <c r="V100" i="1"/>
  <c r="U100" i="1"/>
  <c r="S100" i="1"/>
  <c r="R100" i="1"/>
  <c r="Q100" i="1"/>
  <c r="P100" i="1"/>
  <c r="H100" i="1"/>
  <c r="U99" i="1"/>
  <c r="S99" i="1"/>
  <c r="R99" i="1"/>
  <c r="Q99" i="1"/>
  <c r="P99" i="1"/>
  <c r="H99" i="1"/>
  <c r="V99" i="1" s="1"/>
  <c r="W99" i="1" s="1"/>
  <c r="U98" i="1"/>
  <c r="S98" i="1"/>
  <c r="R98" i="1"/>
  <c r="Q98" i="1"/>
  <c r="P98" i="1"/>
  <c r="H98" i="1"/>
  <c r="V98" i="1" s="1"/>
  <c r="W98" i="1" s="1"/>
  <c r="W97" i="1"/>
  <c r="V97" i="1"/>
  <c r="U97" i="1"/>
  <c r="S97" i="1"/>
  <c r="R97" i="1"/>
  <c r="Q97" i="1"/>
  <c r="P97" i="1"/>
  <c r="H97" i="1"/>
  <c r="W96" i="1"/>
  <c r="V96" i="1"/>
  <c r="U96" i="1"/>
  <c r="S96" i="1"/>
  <c r="R96" i="1"/>
  <c r="Q96" i="1"/>
  <c r="P96" i="1"/>
  <c r="H96" i="1"/>
  <c r="U95" i="1"/>
  <c r="S95" i="1"/>
  <c r="R95" i="1"/>
  <c r="Q95" i="1"/>
  <c r="P95" i="1"/>
  <c r="H95" i="1"/>
  <c r="V95" i="1" s="1"/>
  <c r="W95" i="1" s="1"/>
  <c r="U94" i="1"/>
  <c r="S94" i="1"/>
  <c r="R94" i="1"/>
  <c r="Q94" i="1"/>
  <c r="P94" i="1"/>
  <c r="H94" i="1"/>
  <c r="V94" i="1" s="1"/>
  <c r="W94" i="1" s="1"/>
  <c r="U93" i="1"/>
  <c r="S93" i="1"/>
  <c r="R93" i="1"/>
  <c r="Q93" i="1"/>
  <c r="P93" i="1"/>
  <c r="H93" i="1"/>
  <c r="V93" i="1" s="1"/>
  <c r="W93" i="1" s="1"/>
  <c r="U92" i="1"/>
  <c r="S92" i="1"/>
  <c r="R92" i="1"/>
  <c r="Q92" i="1"/>
  <c r="P92" i="1"/>
  <c r="H92" i="1"/>
  <c r="V92" i="1" s="1"/>
  <c r="W92" i="1" s="1"/>
  <c r="W91" i="1"/>
  <c r="V91" i="1"/>
  <c r="U91" i="1"/>
  <c r="S91" i="1"/>
  <c r="R91" i="1"/>
  <c r="Q91" i="1"/>
  <c r="P91" i="1"/>
  <c r="H91" i="1"/>
  <c r="U90" i="1"/>
  <c r="S90" i="1"/>
  <c r="R90" i="1"/>
  <c r="Q90" i="1"/>
  <c r="P90" i="1"/>
  <c r="H90" i="1"/>
  <c r="V90" i="1" s="1"/>
  <c r="W90" i="1" s="1"/>
  <c r="W89" i="1"/>
  <c r="V89" i="1"/>
  <c r="U89" i="1"/>
  <c r="S89" i="1"/>
  <c r="R89" i="1"/>
  <c r="Q89" i="1"/>
  <c r="P89" i="1"/>
  <c r="H89" i="1"/>
  <c r="U88" i="1"/>
  <c r="S88" i="1"/>
  <c r="R88" i="1"/>
  <c r="Q88" i="1"/>
  <c r="P88" i="1"/>
  <c r="H88" i="1"/>
  <c r="V88" i="1" s="1"/>
  <c r="W88" i="1" s="1"/>
  <c r="U87" i="1"/>
  <c r="S87" i="1"/>
  <c r="R87" i="1"/>
  <c r="Q87" i="1"/>
  <c r="P87" i="1"/>
  <c r="H87" i="1"/>
  <c r="V87" i="1" s="1"/>
  <c r="W87" i="1" s="1"/>
  <c r="W86" i="1"/>
  <c r="V86" i="1"/>
  <c r="U86" i="1"/>
  <c r="S86" i="1"/>
  <c r="R86" i="1"/>
  <c r="Q86" i="1"/>
  <c r="P86" i="1"/>
  <c r="H86" i="1"/>
  <c r="W85" i="1"/>
  <c r="V85" i="1"/>
  <c r="U85" i="1"/>
  <c r="S85" i="1"/>
  <c r="R85" i="1"/>
  <c r="Q85" i="1"/>
  <c r="P85" i="1"/>
  <c r="H85" i="1"/>
  <c r="U84" i="1"/>
  <c r="S84" i="1"/>
  <c r="R84" i="1"/>
  <c r="Q84" i="1"/>
  <c r="P84" i="1"/>
  <c r="H84" i="1"/>
  <c r="V84" i="1" s="1"/>
  <c r="W84" i="1" s="1"/>
  <c r="U83" i="1"/>
  <c r="S83" i="1"/>
  <c r="R83" i="1"/>
  <c r="Q83" i="1"/>
  <c r="P83" i="1"/>
  <c r="H83" i="1"/>
  <c r="V83" i="1" s="1"/>
  <c r="W83" i="1" s="1"/>
  <c r="U82" i="1"/>
  <c r="S82" i="1"/>
  <c r="R82" i="1"/>
  <c r="Q82" i="1"/>
  <c r="P82" i="1"/>
  <c r="H82" i="1"/>
  <c r="V82" i="1" s="1"/>
  <c r="W82" i="1" s="1"/>
  <c r="U81" i="1"/>
  <c r="S81" i="1"/>
  <c r="R81" i="1"/>
  <c r="Q81" i="1"/>
  <c r="P81" i="1"/>
  <c r="H81" i="1"/>
  <c r="V81" i="1" s="1"/>
  <c r="W81" i="1" s="1"/>
  <c r="U80" i="1"/>
  <c r="S80" i="1"/>
  <c r="R80" i="1"/>
  <c r="Q80" i="1"/>
  <c r="P80" i="1"/>
  <c r="H80" i="1"/>
  <c r="V80" i="1" s="1"/>
  <c r="W80" i="1" s="1"/>
  <c r="U79" i="1"/>
  <c r="S79" i="1"/>
  <c r="R79" i="1"/>
  <c r="Q79" i="1"/>
  <c r="P79" i="1"/>
  <c r="H79" i="1"/>
  <c r="V79" i="1" s="1"/>
  <c r="W79" i="1" s="1"/>
  <c r="U78" i="1"/>
  <c r="S78" i="1"/>
  <c r="R78" i="1"/>
  <c r="Q78" i="1"/>
  <c r="P78" i="1"/>
  <c r="H78" i="1"/>
  <c r="V78" i="1" s="1"/>
  <c r="W78" i="1" s="1"/>
  <c r="U77" i="1"/>
  <c r="S77" i="1"/>
  <c r="R77" i="1"/>
  <c r="Q77" i="1"/>
  <c r="P77" i="1"/>
  <c r="H77" i="1"/>
  <c r="V77" i="1" s="1"/>
  <c r="W77" i="1" s="1"/>
  <c r="U76" i="1"/>
  <c r="S76" i="1"/>
  <c r="R76" i="1"/>
  <c r="Q76" i="1"/>
  <c r="P76" i="1"/>
  <c r="H76" i="1"/>
  <c r="V76" i="1" s="1"/>
  <c r="W76" i="1" s="1"/>
  <c r="U75" i="1"/>
  <c r="S75" i="1"/>
  <c r="R75" i="1"/>
  <c r="Q75" i="1"/>
  <c r="P75" i="1"/>
  <c r="H75" i="1"/>
  <c r="V75" i="1" s="1"/>
  <c r="W75" i="1" s="1"/>
  <c r="W74" i="1"/>
  <c r="V74" i="1"/>
  <c r="U74" i="1"/>
  <c r="S74" i="1"/>
  <c r="R74" i="1"/>
  <c r="Q74" i="1"/>
  <c r="P74" i="1"/>
  <c r="H74" i="1"/>
  <c r="W73" i="1"/>
  <c r="V73" i="1"/>
  <c r="U73" i="1"/>
  <c r="S73" i="1"/>
  <c r="R73" i="1"/>
  <c r="Q73" i="1"/>
  <c r="P73" i="1"/>
  <c r="H73" i="1"/>
  <c r="W72" i="1"/>
  <c r="U72" i="1"/>
  <c r="S72" i="1"/>
  <c r="R72" i="1"/>
  <c r="P72" i="1"/>
  <c r="H72" i="1"/>
  <c r="U71" i="1"/>
  <c r="S71" i="1"/>
  <c r="R71" i="1"/>
  <c r="Q71" i="1"/>
  <c r="P71" i="1"/>
  <c r="H71" i="1"/>
  <c r="V71" i="1" s="1"/>
  <c r="W71" i="1" s="1"/>
  <c r="U70" i="1"/>
  <c r="S70" i="1"/>
  <c r="R70" i="1"/>
  <c r="Q70" i="1"/>
  <c r="P70" i="1"/>
  <c r="H70" i="1"/>
  <c r="V70" i="1" s="1"/>
  <c r="W70" i="1" s="1"/>
  <c r="U69" i="1"/>
  <c r="S69" i="1"/>
  <c r="R69" i="1"/>
  <c r="Q69" i="1"/>
  <c r="P69" i="1"/>
  <c r="H69" i="1"/>
  <c r="V69" i="1" s="1"/>
  <c r="W69" i="1" s="1"/>
  <c r="W68" i="1"/>
  <c r="V68" i="1"/>
  <c r="U68" i="1"/>
  <c r="S68" i="1"/>
  <c r="R68" i="1"/>
  <c r="Q68" i="1"/>
  <c r="P68" i="1"/>
  <c r="H68" i="1"/>
  <c r="W67" i="1"/>
  <c r="V67" i="1"/>
  <c r="U67" i="1"/>
  <c r="S67" i="1"/>
  <c r="R67" i="1"/>
  <c r="Q67" i="1"/>
  <c r="P67" i="1"/>
  <c r="H67" i="1"/>
  <c r="U66" i="1"/>
  <c r="S66" i="1"/>
  <c r="R66" i="1"/>
  <c r="Q66" i="1"/>
  <c r="P66" i="1"/>
  <c r="H66" i="1"/>
  <c r="V66" i="1" s="1"/>
  <c r="W66" i="1" s="1"/>
  <c r="V65" i="1"/>
  <c r="W65" i="1" s="1"/>
  <c r="U65" i="1"/>
  <c r="S65" i="1"/>
  <c r="R65" i="1"/>
  <c r="Q65" i="1"/>
  <c r="P65" i="1"/>
  <c r="H65" i="1"/>
  <c r="U64" i="1"/>
  <c r="S64" i="1"/>
  <c r="R64" i="1"/>
  <c r="Q64" i="1"/>
  <c r="P64" i="1"/>
  <c r="H64" i="1"/>
  <c r="V64" i="1" s="1"/>
  <c r="W64" i="1" s="1"/>
  <c r="U63" i="1"/>
  <c r="S63" i="1"/>
  <c r="R63" i="1"/>
  <c r="Q63" i="1"/>
  <c r="P63" i="1"/>
  <c r="H63" i="1"/>
  <c r="V63" i="1" s="1"/>
  <c r="W63" i="1" s="1"/>
  <c r="U62" i="1"/>
  <c r="S62" i="1"/>
  <c r="R62" i="1"/>
  <c r="Q62" i="1"/>
  <c r="P62" i="1"/>
  <c r="H62" i="1"/>
  <c r="V62" i="1" s="1"/>
  <c r="W62" i="1" s="1"/>
  <c r="U61" i="1"/>
  <c r="S61" i="1"/>
  <c r="R61" i="1"/>
  <c r="Q61" i="1"/>
  <c r="P61" i="1"/>
  <c r="H61" i="1"/>
  <c r="V61" i="1" s="1"/>
  <c r="W61" i="1" s="1"/>
  <c r="U60" i="1"/>
  <c r="S60" i="1"/>
  <c r="R60" i="1"/>
  <c r="Q60" i="1"/>
  <c r="P60" i="1"/>
  <c r="H60" i="1"/>
  <c r="V60" i="1" s="1"/>
  <c r="W60" i="1" s="1"/>
  <c r="U59" i="1"/>
  <c r="S59" i="1"/>
  <c r="R59" i="1"/>
  <c r="Q59" i="1"/>
  <c r="P59" i="1"/>
  <c r="H59" i="1"/>
  <c r="V59" i="1" s="1"/>
  <c r="W59" i="1" s="1"/>
  <c r="U58" i="1"/>
  <c r="S58" i="1"/>
  <c r="R58" i="1"/>
  <c r="Q58" i="1"/>
  <c r="P58" i="1"/>
  <c r="H58" i="1"/>
  <c r="V58" i="1" s="1"/>
  <c r="W58" i="1" s="1"/>
  <c r="U57" i="1"/>
  <c r="S57" i="1"/>
  <c r="R57" i="1"/>
  <c r="Q57" i="1"/>
  <c r="P57" i="1"/>
  <c r="H57" i="1"/>
  <c r="V57" i="1" s="1"/>
  <c r="W57" i="1" s="1"/>
  <c r="U56" i="1"/>
  <c r="S56" i="1"/>
  <c r="R56" i="1"/>
  <c r="Q56" i="1"/>
  <c r="P56" i="1"/>
  <c r="H56" i="1"/>
  <c r="V56" i="1" s="1"/>
  <c r="W56" i="1" s="1"/>
  <c r="W55" i="1"/>
  <c r="V55" i="1"/>
  <c r="U55" i="1"/>
  <c r="S55" i="1"/>
  <c r="R55" i="1"/>
  <c r="Q55" i="1"/>
  <c r="P55" i="1"/>
  <c r="H55" i="1"/>
  <c r="U54" i="1"/>
  <c r="S54" i="1"/>
  <c r="R54" i="1"/>
  <c r="Q54" i="1"/>
  <c r="P54" i="1"/>
  <c r="H54" i="1"/>
  <c r="V54" i="1" s="1"/>
  <c r="W54" i="1" s="1"/>
  <c r="U53" i="1"/>
  <c r="S53" i="1"/>
  <c r="R53" i="1"/>
  <c r="Q53" i="1"/>
  <c r="P53" i="1"/>
  <c r="H53" i="1"/>
  <c r="V53" i="1" s="1"/>
  <c r="W53" i="1" s="1"/>
  <c r="W52" i="1"/>
  <c r="V52" i="1"/>
  <c r="U52" i="1"/>
  <c r="S52" i="1"/>
  <c r="R52" i="1"/>
  <c r="Q52" i="1"/>
  <c r="P52" i="1"/>
  <c r="H52" i="1"/>
  <c r="U51" i="1"/>
  <c r="S51" i="1"/>
  <c r="R51" i="1"/>
  <c r="Q51" i="1"/>
  <c r="P51" i="1"/>
  <c r="H51" i="1"/>
  <c r="V51" i="1" s="1"/>
  <c r="W51" i="1" s="1"/>
  <c r="U50" i="1"/>
  <c r="S50" i="1"/>
  <c r="R50" i="1"/>
  <c r="Q50" i="1"/>
  <c r="P50" i="1"/>
  <c r="H50" i="1"/>
  <c r="V50" i="1" s="1"/>
  <c r="W50" i="1" s="1"/>
  <c r="U49" i="1"/>
  <c r="S49" i="1"/>
  <c r="R49" i="1"/>
  <c r="Q49" i="1"/>
  <c r="P49" i="1"/>
  <c r="H49" i="1"/>
  <c r="V49" i="1" s="1"/>
  <c r="W49" i="1" s="1"/>
  <c r="W48" i="1"/>
  <c r="V48" i="1"/>
  <c r="U48" i="1"/>
  <c r="S48" i="1"/>
  <c r="R48" i="1"/>
  <c r="Q48" i="1"/>
  <c r="P48" i="1"/>
  <c r="H48" i="1"/>
  <c r="U47" i="1"/>
  <c r="S47" i="1"/>
  <c r="R47" i="1"/>
  <c r="Q47" i="1"/>
  <c r="P47" i="1"/>
  <c r="H47" i="1"/>
  <c r="V47" i="1" s="1"/>
  <c r="W47" i="1" s="1"/>
  <c r="U46" i="1"/>
  <c r="S46" i="1"/>
  <c r="R46" i="1"/>
  <c r="Q46" i="1"/>
  <c r="P46" i="1"/>
  <c r="H46" i="1"/>
  <c r="V46" i="1" s="1"/>
  <c r="W46" i="1" s="1"/>
  <c r="U45" i="1"/>
  <c r="S45" i="1"/>
  <c r="R45" i="1"/>
  <c r="Q45" i="1"/>
  <c r="P45" i="1"/>
  <c r="H45" i="1"/>
  <c r="V45" i="1" s="1"/>
  <c r="W45" i="1" s="1"/>
  <c r="W44" i="1"/>
  <c r="V44" i="1"/>
  <c r="U44" i="1"/>
  <c r="S44" i="1"/>
  <c r="R44" i="1"/>
  <c r="Q44" i="1"/>
  <c r="P44" i="1"/>
  <c r="H44" i="1"/>
  <c r="U43" i="1"/>
  <c r="S43" i="1"/>
  <c r="R43" i="1"/>
  <c r="Q43" i="1"/>
  <c r="P43" i="1"/>
  <c r="H43" i="1"/>
  <c r="V43" i="1" s="1"/>
  <c r="W43" i="1" s="1"/>
  <c r="U42" i="1"/>
  <c r="S42" i="1"/>
  <c r="R42" i="1"/>
  <c r="Q42" i="1"/>
  <c r="P42" i="1"/>
  <c r="H42" i="1"/>
  <c r="V42" i="1" s="1"/>
  <c r="W42" i="1" s="1"/>
  <c r="U41" i="1"/>
  <c r="S41" i="1"/>
  <c r="R41" i="1"/>
  <c r="Q41" i="1"/>
  <c r="P41" i="1"/>
  <c r="H41" i="1"/>
  <c r="V41" i="1" s="1"/>
  <c r="W41" i="1" s="1"/>
  <c r="U40" i="1"/>
  <c r="S40" i="1"/>
  <c r="R40" i="1"/>
  <c r="Q40" i="1"/>
  <c r="P40" i="1"/>
  <c r="H40" i="1"/>
  <c r="V40" i="1" s="1"/>
  <c r="W40" i="1" s="1"/>
  <c r="U39" i="1"/>
  <c r="S39" i="1"/>
  <c r="R39" i="1"/>
  <c r="Q39" i="1"/>
  <c r="P39" i="1"/>
  <c r="H39" i="1"/>
  <c r="V39" i="1" s="1"/>
  <c r="W39" i="1" s="1"/>
  <c r="U38" i="1"/>
  <c r="S38" i="1"/>
  <c r="R38" i="1"/>
  <c r="Q38" i="1"/>
  <c r="P38" i="1"/>
  <c r="H38" i="1"/>
  <c r="V38" i="1" s="1"/>
  <c r="W38" i="1" s="1"/>
  <c r="U37" i="1"/>
  <c r="S37" i="1"/>
  <c r="R37" i="1"/>
  <c r="Q37" i="1"/>
  <c r="P37" i="1"/>
  <c r="H37" i="1"/>
  <c r="V37" i="1" s="1"/>
  <c r="W37" i="1" s="1"/>
  <c r="U36" i="1"/>
  <c r="S36" i="1"/>
  <c r="R36" i="1"/>
  <c r="Q36" i="1"/>
  <c r="P36" i="1"/>
  <c r="H36" i="1"/>
  <c r="V36" i="1" s="1"/>
  <c r="W36" i="1" s="1"/>
  <c r="U35" i="1"/>
  <c r="S35" i="1"/>
  <c r="R35" i="1"/>
  <c r="Q35" i="1"/>
  <c r="P35" i="1"/>
  <c r="H35" i="1"/>
  <c r="V35" i="1" s="1"/>
  <c r="W35" i="1" s="1"/>
  <c r="U34" i="1"/>
  <c r="S34" i="1"/>
  <c r="R34" i="1"/>
  <c r="Q34" i="1"/>
  <c r="P34" i="1"/>
  <c r="H34" i="1"/>
  <c r="V34" i="1" s="1"/>
  <c r="W34" i="1" s="1"/>
  <c r="W33" i="1"/>
  <c r="V33" i="1"/>
  <c r="U33" i="1"/>
  <c r="S33" i="1"/>
  <c r="R33" i="1"/>
  <c r="Q33" i="1"/>
  <c r="P33" i="1"/>
  <c r="H33" i="1"/>
  <c r="W32" i="1"/>
  <c r="V32" i="1"/>
  <c r="U32" i="1"/>
  <c r="S32" i="1"/>
  <c r="R32" i="1"/>
  <c r="Q32" i="1"/>
  <c r="P32" i="1"/>
  <c r="H32" i="1"/>
  <c r="U31" i="1"/>
  <c r="S31" i="1"/>
  <c r="R31" i="1"/>
  <c r="Q31" i="1"/>
  <c r="P31" i="1"/>
  <c r="H31" i="1"/>
  <c r="V31" i="1" s="1"/>
  <c r="W31" i="1" s="1"/>
  <c r="U30" i="1"/>
  <c r="S30" i="1"/>
  <c r="R30" i="1"/>
  <c r="Q30" i="1"/>
  <c r="P30" i="1"/>
  <c r="H30" i="1"/>
  <c r="V30" i="1" s="1"/>
  <c r="W30" i="1" s="1"/>
  <c r="U29" i="1"/>
  <c r="S29" i="1"/>
  <c r="R29" i="1"/>
  <c r="Q29" i="1"/>
  <c r="P29" i="1"/>
  <c r="H29" i="1"/>
  <c r="V29" i="1" s="1"/>
  <c r="W29" i="1" s="1"/>
  <c r="U28" i="1"/>
  <c r="S28" i="1"/>
  <c r="R28" i="1"/>
  <c r="Q28" i="1"/>
  <c r="P28" i="1"/>
  <c r="H28" i="1"/>
  <c r="V28" i="1" s="1"/>
  <c r="W28" i="1" s="1"/>
  <c r="W27" i="1"/>
  <c r="V27" i="1"/>
  <c r="U27" i="1"/>
  <c r="S27" i="1"/>
  <c r="R27" i="1"/>
  <c r="Q27" i="1"/>
  <c r="P27" i="1"/>
  <c r="H27" i="1"/>
  <c r="W26" i="1"/>
  <c r="V26" i="1"/>
  <c r="U26" i="1"/>
  <c r="S26" i="1"/>
  <c r="R26" i="1"/>
  <c r="Q26" i="1"/>
  <c r="P26" i="1"/>
  <c r="H26" i="1"/>
  <c r="U25" i="1"/>
  <c r="S25" i="1"/>
  <c r="R25" i="1"/>
  <c r="Q25" i="1"/>
  <c r="P25" i="1"/>
  <c r="H25" i="1"/>
  <c r="V25" i="1" s="1"/>
  <c r="W25" i="1" s="1"/>
  <c r="U24" i="1"/>
  <c r="S24" i="1"/>
  <c r="R24" i="1"/>
  <c r="Q24" i="1"/>
  <c r="P24" i="1"/>
  <c r="H24" i="1"/>
  <c r="V24" i="1" s="1"/>
  <c r="W24" i="1" s="1"/>
  <c r="U23" i="1"/>
  <c r="S23" i="1"/>
  <c r="R23" i="1"/>
  <c r="Q23" i="1"/>
  <c r="P23" i="1"/>
  <c r="H23" i="1"/>
  <c r="V23" i="1" s="1"/>
  <c r="W23" i="1" s="1"/>
  <c r="U22" i="1"/>
  <c r="S22" i="1"/>
  <c r="R22" i="1"/>
  <c r="Q22" i="1"/>
  <c r="P22" i="1"/>
  <c r="H22" i="1"/>
  <c r="V22" i="1" s="1"/>
  <c r="W22" i="1" s="1"/>
  <c r="U21" i="1"/>
  <c r="S21" i="1"/>
  <c r="R21" i="1"/>
  <c r="Q21" i="1"/>
  <c r="P21" i="1"/>
  <c r="H21" i="1"/>
  <c r="V21" i="1" s="1"/>
  <c r="W21" i="1" s="1"/>
  <c r="U20" i="1"/>
  <c r="S20" i="1"/>
  <c r="R20" i="1"/>
  <c r="Q20" i="1"/>
  <c r="P20" i="1"/>
  <c r="H20" i="1"/>
  <c r="V20" i="1" s="1"/>
  <c r="W20" i="1" s="1"/>
  <c r="W19" i="1"/>
  <c r="V19" i="1"/>
  <c r="U19" i="1"/>
  <c r="S19" i="1"/>
  <c r="R19" i="1"/>
  <c r="Q19" i="1"/>
  <c r="P19" i="1"/>
  <c r="H19" i="1"/>
  <c r="U18" i="1"/>
  <c r="S18" i="1"/>
  <c r="R18" i="1"/>
  <c r="Q18" i="1"/>
  <c r="P18" i="1"/>
  <c r="H18" i="1"/>
  <c r="V18" i="1" s="1"/>
  <c r="W18" i="1" s="1"/>
  <c r="U17" i="1"/>
  <c r="S17" i="1"/>
  <c r="R17" i="1"/>
  <c r="Q17" i="1"/>
  <c r="P17" i="1"/>
  <c r="H17" i="1"/>
  <c r="V17" i="1" s="1"/>
  <c r="W17" i="1" s="1"/>
  <c r="R13" i="1"/>
  <c r="R6" i="1"/>
  <c r="R4" i="1"/>
  <c r="R3" i="1"/>
  <c r="R5" i="1" s="1"/>
  <c r="Q729" i="1" l="1"/>
  <c r="V729" i="1"/>
  <c r="Q728" i="1"/>
  <c r="V728" i="1"/>
  <c r="V727" i="1"/>
  <c r="Q727" i="1"/>
  <c r="V726" i="1"/>
  <c r="Q726" i="1"/>
  <c r="V724" i="1"/>
  <c r="Q724" i="1"/>
  <c r="V722" i="1"/>
  <c r="Q722" i="1"/>
  <c r="Q721" i="1"/>
  <c r="V721" i="1"/>
  <c r="Q720" i="1"/>
  <c r="V720" i="1"/>
  <c r="Q719" i="1"/>
  <c r="V719" i="1"/>
  <c r="Q717" i="1"/>
  <c r="V717" i="1"/>
  <c r="Q716" i="1"/>
  <c r="V716" i="1"/>
  <c r="Q715" i="1"/>
  <c r="V715" i="1"/>
  <c r="Q709" i="1"/>
  <c r="V709" i="1"/>
  <c r="Q708" i="1"/>
  <c r="V708" i="1"/>
  <c r="V697" i="1"/>
  <c r="Q697" i="1"/>
  <c r="Q693" i="1"/>
  <c r="V693" i="1"/>
  <c r="V691" i="1"/>
  <c r="Q691" i="1"/>
  <c r="Q690" i="1"/>
  <c r="V690" i="1"/>
  <c r="Q689" i="1"/>
  <c r="V689" i="1"/>
  <c r="V688" i="1"/>
  <c r="Q688" i="1"/>
  <c r="Q671" i="1"/>
  <c r="V671" i="1"/>
  <c r="V649" i="1"/>
  <c r="Q649" i="1"/>
  <c r="V647" i="1"/>
  <c r="Q647" i="1"/>
  <c r="V598" i="1"/>
  <c r="Q598" i="1"/>
  <c r="V590" i="1"/>
  <c r="Q590" i="1"/>
  <c r="V576" i="1"/>
  <c r="Q576" i="1"/>
  <c r="Q563" i="1"/>
  <c r="V563" i="1"/>
  <c r="Q493" i="1"/>
  <c r="V493" i="1"/>
  <c r="Q447" i="1"/>
  <c r="V447" i="1"/>
  <c r="V442" i="1"/>
  <c r="Q442" i="1"/>
  <c r="Q430" i="1"/>
  <c r="V430" i="1"/>
  <c r="Q410" i="1"/>
  <c r="V410" i="1"/>
  <c r="V403" i="1"/>
  <c r="Q403" i="1"/>
  <c r="Q399" i="1"/>
  <c r="V399" i="1"/>
  <c r="Q379" i="1"/>
  <c r="V379" i="1"/>
  <c r="V350" i="1"/>
  <c r="Q350" i="1"/>
  <c r="Q337" i="1"/>
  <c r="V337" i="1"/>
  <c r="Q317" i="1"/>
  <c r="V317" i="1"/>
  <c r="V228" i="1"/>
  <c r="Q228" i="1"/>
  <c r="Q173" i="1"/>
  <c r="V173" i="1"/>
  <c r="Q123" i="1"/>
  <c r="V123" i="1"/>
  <c r="V108" i="1"/>
  <c r="Q108" i="1"/>
  <c r="V72" i="1"/>
  <c r="Q72" i="1"/>
  <c r="R12" i="1"/>
  <c r="R11" i="1"/>
  <c r="R9" i="1"/>
  <c r="R8" i="1"/>
  <c r="R7" i="1"/>
  <c r="R10" i="1" s="1"/>
</calcChain>
</file>

<file path=xl/sharedStrings.xml><?xml version="1.0" encoding="utf-8"?>
<sst xmlns="http://schemas.openxmlformats.org/spreadsheetml/2006/main" count="5994" uniqueCount="1924">
  <si>
    <t>SYNTHÈSE</t>
  </si>
  <si>
    <t>Nombre total de courriers</t>
  </si>
  <si>
    <t>Courriers ne nécessitant pas de réponse</t>
  </si>
  <si>
    <t>Courriers nécessitant une réponse</t>
  </si>
  <si>
    <t>Courriers traités (signés)</t>
  </si>
  <si>
    <t>Courriers répondus dans les délais</t>
  </si>
  <si>
    <t>Courriers en alerte JAUNE</t>
  </si>
  <si>
    <t>Courriers en alerte ROUGE</t>
  </si>
  <si>
    <t>Performance (% dans les délais)</t>
  </si>
  <si>
    <t>Courriers en alerte JAUNE (Directeur)</t>
  </si>
  <si>
    <t>Courriers en alerte ROUGE (Directeur)</t>
  </si>
  <si>
    <t>Dossiers soumis en attente de signature Directeur</t>
  </si>
  <si>
    <t>DISPOSITIF DE SUIVI INTÉGRAL DU COURRIER (DISC) DE LA DSP — FICHIER DE TEST</t>
  </si>
  <si>
    <t>N° d'ordre</t>
  </si>
  <si>
    <t>Date d'arrivée</t>
  </si>
  <si>
    <t>Référence du courrier Expéditeur</t>
  </si>
  <si>
    <t>Service d'origine</t>
  </si>
  <si>
    <t>Référence du courrier MEFP</t>
  </si>
  <si>
    <t>Référence du courrier DGCPT</t>
  </si>
  <si>
    <t>Type de courrier
(Ordinaire/Confidentiel)</t>
  </si>
  <si>
    <t>Délai agent
applicable
(jours)</t>
  </si>
  <si>
    <t>Objet / Diligences</t>
  </si>
  <si>
    <t>Division concernée
(DRI/DP/DSSE)</t>
  </si>
  <si>
    <t>Date d'imputation
à la division</t>
  </si>
  <si>
    <t>Date d'imputation
à l'agent</t>
  </si>
  <si>
    <t>Instructions DSP</t>
  </si>
  <si>
    <t>Agent responsable</t>
  </si>
  <si>
    <t>Date de soumission
du dossier par l'agent</t>
  </si>
  <si>
    <t>Durée de traitement
agent (jours)</t>
  </si>
  <si>
    <t>Alerte délai
agent (Vert/Jaune/Rouge)</t>
  </si>
  <si>
    <t>Délai Directeur
applicable (jours)</t>
  </si>
  <si>
    <t>Alerte délai
Directeur (Vert/Jaune/Rouge)</t>
  </si>
  <si>
    <t>Date de signature
de la réponse (Directeur)</t>
  </si>
  <si>
    <t>Durée de traitement
Directeur (jours)</t>
  </si>
  <si>
    <t>Écart global
(jours)</t>
  </si>
  <si>
    <t>Observation</t>
  </si>
  <si>
    <t>N°0047042 du 05-01-2026</t>
  </si>
  <si>
    <t>Structure fictive 09</t>
  </si>
  <si>
    <t>REF-B N°000271 du 05-01-2026</t>
  </si>
  <si>
    <t>Ordinaire</t>
  </si>
  <si>
    <t>Transmission d'un état récapitulatif fictif</t>
  </si>
  <si>
    <t>DSSE</t>
  </si>
  <si>
    <t>Vérifier la conformité avant signature</t>
  </si>
  <si>
    <t>Agent DSSE n°3</t>
  </si>
  <si>
    <t>N°0065246 du 05-01-2026</t>
  </si>
  <si>
    <t>Structure fictive 20</t>
  </si>
  <si>
    <t>REF-B N°002730 du 05-01-2026</t>
  </si>
  <si>
    <t>Convocation à une réunion fictive</t>
  </si>
  <si>
    <t>DP</t>
  </si>
  <si>
    <t>À traiter en priorité</t>
  </si>
  <si>
    <t>Agent DP n°1</t>
  </si>
  <si>
    <t>N°0028393 du 06-01-2026</t>
  </si>
  <si>
    <t>REF-B N°008217 du 06-01-2026</t>
  </si>
  <si>
    <t>Ne nécessite pas de réponse</t>
  </si>
  <si>
    <t>Transmission d'une note d'orientation fictive</t>
  </si>
  <si>
    <t>DRI</t>
  </si>
  <si>
    <t>Suivi</t>
  </si>
  <si>
    <t>Agent DRI n°2</t>
  </si>
  <si>
    <t>N°0057276 du 06-01-2026</t>
  </si>
  <si>
    <t>Structure fictive 11</t>
  </si>
  <si>
    <t>REF-B N°008864 du 06-01-2026</t>
  </si>
  <si>
    <t>Analyse et proposition de réponse</t>
  </si>
  <si>
    <t>N°0059016 du 06-01-2026</t>
  </si>
  <si>
    <t>Structure fictive 08</t>
  </si>
  <si>
    <t>REF-B N°001514 du 06-01-2026</t>
  </si>
  <si>
    <t>Demande de documents complémentaires (test)</t>
  </si>
  <si>
    <t>Agent DRI n°3</t>
  </si>
  <si>
    <t>N°0014011 du 06-01-2026</t>
  </si>
  <si>
    <t>Structure fictive 06</t>
  </si>
  <si>
    <t>REF-A N°005409 du 06-01-2026</t>
  </si>
  <si>
    <t>REF-B N°006480 du 06-01-2026</t>
  </si>
  <si>
    <t>Transmission d'un rapport annuel fictif</t>
  </si>
  <si>
    <t>N°0066324 du 07-01-2026</t>
  </si>
  <si>
    <t>REF-B N°004973 du 07-01-2026</t>
  </si>
  <si>
    <t>Transmission d'un rapport trimestriel fictif</t>
  </si>
  <si>
    <t>Préparer une note de réponse synthétique</t>
  </si>
  <si>
    <t>Agent DSSE n°1</t>
  </si>
  <si>
    <t>N°0042356 du 07-01-2026</t>
  </si>
  <si>
    <t>REF-A N°006392 du 07-01-2026</t>
  </si>
  <si>
    <t>REF-B N°005712 du 07-01-2026</t>
  </si>
  <si>
    <t>N°0037686 du 07-01-2026</t>
  </si>
  <si>
    <t>Structure fictive 03</t>
  </si>
  <si>
    <t>REF-A N°003914 du 07-01-2026</t>
  </si>
  <si>
    <t>REF-B N°007357 du 07-01-2026</t>
  </si>
  <si>
    <t>Confidentiel</t>
  </si>
  <si>
    <t>Demande de précisions sur un tableau de bord fictif</t>
  </si>
  <si>
    <t>Examen et avis motivé</t>
  </si>
  <si>
    <t>Agent DSSE n°2</t>
  </si>
  <si>
    <t>N°0081785 du 07-01-2026</t>
  </si>
  <si>
    <t>Structure fictive 04</t>
  </si>
  <si>
    <t>REF-B N°006411 du 07-01-2026</t>
  </si>
  <si>
    <t>Examen d'un document de planification fictif</t>
  </si>
  <si>
    <t>N°0034393 du 07-01-2026</t>
  </si>
  <si>
    <t>REF-B N°001016 du 07-01-2026</t>
  </si>
  <si>
    <t>Projet de texte soumis pour observations (données fictives)</t>
  </si>
  <si>
    <t>N°0023984 du 07-01-2026</t>
  </si>
  <si>
    <t>Structure fictive 15</t>
  </si>
  <si>
    <t>REF-B N°008144 du 07-01-2026</t>
  </si>
  <si>
    <t>Transmission de pièces justificatives fictives</t>
  </si>
  <si>
    <t>N°0001777 du 08-01-2026</t>
  </si>
  <si>
    <t>Structure fictive 07</t>
  </si>
  <si>
    <t>REF-B N°000823 du 08-01-2026</t>
  </si>
  <si>
    <t>Agent DRI n°1</t>
  </si>
  <si>
    <t>N°0065546 du 08-01-2026</t>
  </si>
  <si>
    <t>Structure fictive 05</t>
  </si>
  <si>
    <t>REF-B N°008281 du 08-01-2026</t>
  </si>
  <si>
    <t>N°0084847 du 08-01-2026</t>
  </si>
  <si>
    <t>REF-B N°002920 du 08-01-2026</t>
  </si>
  <si>
    <t>Demande d'information sur un dossier de test</t>
  </si>
  <si>
    <t>N°0008941 du 08-01-2026</t>
  </si>
  <si>
    <t>REF-A N°018340 du 08-01-2026</t>
  </si>
  <si>
    <t>REF-B N°009165 du 08-01-2026</t>
  </si>
  <si>
    <t>N°0052307 du 12-01-2026</t>
  </si>
  <si>
    <t>REF-B N°000360 du 12-01-2026</t>
  </si>
  <si>
    <t>N°0019421 du 12-01-2026</t>
  </si>
  <si>
    <t>Structure fictive 19</t>
  </si>
  <si>
    <t>REF-B N°005440 du 12-01-2026</t>
  </si>
  <si>
    <t>N°0098051 du 12-01-2026</t>
  </si>
  <si>
    <t>Structure fictive 14</t>
  </si>
  <si>
    <t>REF-B N°001566 du 12-01-2026</t>
  </si>
  <si>
    <t>Demande de désignation d'un point focal (test)</t>
  </si>
  <si>
    <t>Agent DP n°2</t>
  </si>
  <si>
    <t>N°0032911 du 12-01-2026</t>
  </si>
  <si>
    <t>Structure fictive 18</t>
  </si>
  <si>
    <t>REF-B N°003416 du 12-01-2026</t>
  </si>
  <si>
    <t>N°0005878 du 13-01-2026</t>
  </si>
  <si>
    <t>REF-A N°012059 du 13-01-2026</t>
  </si>
  <si>
    <t>REF-B N°008402 du 13-01-2026</t>
  </si>
  <si>
    <t>N°0026801 du 14-01-2026</t>
  </si>
  <si>
    <t>REF-B N°002375 du 14-01-2026</t>
  </si>
  <si>
    <t>Note de présentation d'un projet fictif</t>
  </si>
  <si>
    <t>N°0037355 du 14-01-2026</t>
  </si>
  <si>
    <t>REF-A N°005010 du 14-01-2026</t>
  </si>
  <si>
    <t>REF-B N°004652 du 14-01-2026</t>
  </si>
  <si>
    <t>N°0072110 du 14-01-2026</t>
  </si>
  <si>
    <t>REF-B N°004094 du 14-01-2026</t>
  </si>
  <si>
    <t>N°0080245 du 14-01-2026</t>
  </si>
  <si>
    <t>Structure fictive 02</t>
  </si>
  <si>
    <t>REF-B N°005412 du 14-01-2026</t>
  </si>
  <si>
    <t>N°0066911 du 14-01-2026</t>
  </si>
  <si>
    <t>REF-A N°005589 du 14-01-2026</t>
  </si>
  <si>
    <t>REF-B N°009138 du 14-01-2026</t>
  </si>
  <si>
    <t>N°0055573 du 14-01-2026</t>
  </si>
  <si>
    <t>REF-B N°001909 du 14-01-2026</t>
  </si>
  <si>
    <t>N°0051750 du 15-01-2026</t>
  </si>
  <si>
    <t>Structure fictive 12</t>
  </si>
  <si>
    <t>REF-B N°004748 du 15-01-2026</t>
  </si>
  <si>
    <t>N°0003899 du 15-01-2026</t>
  </si>
  <si>
    <t>REF-B N°003698 du 15-01-2026</t>
  </si>
  <si>
    <t>N°0013487 du 16-01-2026</t>
  </si>
  <si>
    <t>REF-B N°008113 du 16-01-2026</t>
  </si>
  <si>
    <t>N°0038445 du 16-01-2026</t>
  </si>
  <si>
    <t>REF-B N°004752 du 16-01-2026</t>
  </si>
  <si>
    <t>N°0088669 du 19-01-2026</t>
  </si>
  <si>
    <t>REF-B N°005642 du 19-01-2026</t>
  </si>
  <si>
    <t>Transmission d'un tableau de suivi fictif</t>
  </si>
  <si>
    <t>N°0038702 du 19-01-2026</t>
  </si>
  <si>
    <t>REF-A N°009978 du 19-01-2026</t>
  </si>
  <si>
    <t>REF-B N°002636 du 19-01-2026</t>
  </si>
  <si>
    <t>N°0062222 du 19-01-2026</t>
  </si>
  <si>
    <t>REF-B N°000481 du 19-01-2026</t>
  </si>
  <si>
    <t>N°0014769 du 19-01-2026</t>
  </si>
  <si>
    <t>REF-B N°000421 du 19-01-2026</t>
  </si>
  <si>
    <t>N°0001664 du 20-01-2026</t>
  </si>
  <si>
    <t>REF-B N°000298 du 20-01-2026</t>
  </si>
  <si>
    <t>N°0059401 du 20-01-2026</t>
  </si>
  <si>
    <t>REF-A N°016700 du 20-01-2026</t>
  </si>
  <si>
    <t>REF-B N°002129 du 20-01-2026</t>
  </si>
  <si>
    <t>Demande de validation d'un document fictif</t>
  </si>
  <si>
    <t>N°0099745 du 20-01-2026</t>
  </si>
  <si>
    <t>REF-A N°013258 du 20-01-2026</t>
  </si>
  <si>
    <t>REF-B N°002418 du 20-01-2026</t>
  </si>
  <si>
    <t>N°0075412 du 20-01-2026</t>
  </si>
  <si>
    <t>REF-B N°000182 du 20-01-2026</t>
  </si>
  <si>
    <t>N°0043345 du 20-01-2026</t>
  </si>
  <si>
    <t>Structure fictive 13</t>
  </si>
  <si>
    <t>REF-B N°006556 du 20-01-2026</t>
  </si>
  <si>
    <t>N°0049862 du 20-01-2026</t>
  </si>
  <si>
    <t>Structure fictive 16</t>
  </si>
  <si>
    <t>REF-B N°006924 du 20-01-2026</t>
  </si>
  <si>
    <t>N°0014642 du 20-01-2026</t>
  </si>
  <si>
    <t>REF-B N°008272 du 20-01-2026</t>
  </si>
  <si>
    <t>N°0078609 du 21-01-2026</t>
  </si>
  <si>
    <t>REF-A N°019011 du 21-01-2026</t>
  </si>
  <si>
    <t>REF-B N°004158 du 21-01-2026</t>
  </si>
  <si>
    <t>Demande de point de situation sur un dossier fictif</t>
  </si>
  <si>
    <t>Agent DP n°3</t>
  </si>
  <si>
    <t>N°0045113 du 22-01-2026</t>
  </si>
  <si>
    <t>REF-A N°016341 du 22-01-2026</t>
  </si>
  <si>
    <t>REF-B N°007393 du 22-01-2026</t>
  </si>
  <si>
    <t>Transmission d'un rapport d'étape fictif</t>
  </si>
  <si>
    <t>N°0044645 du 22-01-2026</t>
  </si>
  <si>
    <t>REF-B N°004554 du 22-01-2026</t>
  </si>
  <si>
    <t>N°0072759 du 22-01-2026</t>
  </si>
  <si>
    <t>REF-B N°008755 du 22-01-2026</t>
  </si>
  <si>
    <t>N°0048234 du 22-01-2026</t>
  </si>
  <si>
    <t>REF-A N°005929 du 22-01-2026</t>
  </si>
  <si>
    <t>REF-B N°006850 du 22-01-2026</t>
  </si>
  <si>
    <t>N°0099644 du 22-01-2026</t>
  </si>
  <si>
    <t>REF-A N°016094 du 22-01-2026</t>
  </si>
  <si>
    <t>REF-B N°006299 du 22-01-2026</t>
  </si>
  <si>
    <t>N°0029301 du 22-01-2026</t>
  </si>
  <si>
    <t>REF-A N°014968 du 22-01-2026</t>
  </si>
  <si>
    <t>REF-B N°009509 du 22-01-2026</t>
  </si>
  <si>
    <t>N°0055723 du 23-01-2026</t>
  </si>
  <si>
    <t>REF-B N°009017 du 23-01-2026</t>
  </si>
  <si>
    <t>N°0047666 du 23-01-2026</t>
  </si>
  <si>
    <t>REF-A N°007800 du 23-01-2026</t>
  </si>
  <si>
    <t>REF-B N°004253 du 23-01-2026</t>
  </si>
  <si>
    <t>N°0064536 du 23-01-2026</t>
  </si>
  <si>
    <t>REF-B N°006391 du 23-01-2026</t>
  </si>
  <si>
    <t>N°0034537 du 23-01-2026</t>
  </si>
  <si>
    <t>REF-A N°004873 du 23-01-2026</t>
  </si>
  <si>
    <t>REF-B N°009059 du 23-01-2026</t>
  </si>
  <si>
    <t>N°0088490 du 26-01-2026</t>
  </si>
  <si>
    <t>REF-B N°008798 du 26-01-2026</t>
  </si>
  <si>
    <t>N°0049540 du 26-01-2026</t>
  </si>
  <si>
    <t>REF-B N°003616 du 26-01-2026</t>
  </si>
  <si>
    <t>N°0094307 du 26-01-2026</t>
  </si>
  <si>
    <t>REF-A N°016917 du 26-01-2026</t>
  </si>
  <si>
    <t>REF-B N°005822 du 26-01-2026</t>
  </si>
  <si>
    <t>N°0035510 du 26-01-2026</t>
  </si>
  <si>
    <t>REF-B N°006982 du 26-01-2026</t>
  </si>
  <si>
    <t>N°0091686 du 26-01-2026</t>
  </si>
  <si>
    <t>REF-B N°009618 du 26-01-2026</t>
  </si>
  <si>
    <t>N°0004265 du 27-01-2026</t>
  </si>
  <si>
    <t>REF-A N°010205 du 27-01-2026</t>
  </si>
  <si>
    <t>REF-B N°009123 du 27-01-2026</t>
  </si>
  <si>
    <t>Invitation à un atelier fictif</t>
  </si>
  <si>
    <t>N°0054165 du 27-01-2026</t>
  </si>
  <si>
    <t>Structure fictive 17</t>
  </si>
  <si>
    <t>REF-B N°003104 du 27-01-2026</t>
  </si>
  <si>
    <t>Demande d'avis sur une procédure interne fictive</t>
  </si>
  <si>
    <t>N°0059879 du 27-01-2026</t>
  </si>
  <si>
    <t>REF-B N°001353 du 27-01-2026</t>
  </si>
  <si>
    <t>N°0030767 du 28-01-2026</t>
  </si>
  <si>
    <t>REF-A N°015928 du 28-01-2026</t>
  </si>
  <si>
    <t>REF-B N°009014 du 28-01-2026</t>
  </si>
  <si>
    <t>N°0040877 du 28-01-2026</t>
  </si>
  <si>
    <t>REF-B N°002523 du 28-01-2026</t>
  </si>
  <si>
    <t>Compte rendu d'une réunion fictive de coordination</t>
  </si>
  <si>
    <t>N°0035220 du 29-01-2026</t>
  </si>
  <si>
    <t>REF-A N°016669 du 29-01-2026</t>
  </si>
  <si>
    <t>REF-B N°001525 du 29-01-2026</t>
  </si>
  <si>
    <t>N°0061496 du 29-01-2026</t>
  </si>
  <si>
    <t>REF-A N°005004 du 29-01-2026</t>
  </si>
  <si>
    <t>REF-B N°004384 du 29-01-2026</t>
  </si>
  <si>
    <t>N°0040704 du 29-01-2026</t>
  </si>
  <si>
    <t>Structure fictive 10</t>
  </si>
  <si>
    <t>REF-A N°017017 du 29-01-2026</t>
  </si>
  <si>
    <t>REF-B N°004735 du 29-01-2026</t>
  </si>
  <si>
    <t>N°0066895 du 30-01-2026</t>
  </si>
  <si>
    <t>REF-B N°001872 du 30-01-2026</t>
  </si>
  <si>
    <t>N°0001064 du 30-01-2026</t>
  </si>
  <si>
    <t>REF-A N°010937 du 30-01-2026</t>
  </si>
  <si>
    <t>REF-B N°005006 du 30-01-2026</t>
  </si>
  <si>
    <t>N°0099092 du 30-01-2026</t>
  </si>
  <si>
    <t>REF-A N°013103 du 30-01-2026</t>
  </si>
  <si>
    <t>REF-B N°005322 du 30-01-2026</t>
  </si>
  <si>
    <t>N°0089548 du 02-02-2026</t>
  </si>
  <si>
    <t>REF-A N°014790 du 02-02-2026</t>
  </si>
  <si>
    <t>REF-B N°008836 du 02-02-2026</t>
  </si>
  <si>
    <t>N°0070001 du 02-02-2026</t>
  </si>
  <si>
    <t>REF-B N°009528 du 02-02-2026</t>
  </si>
  <si>
    <t>N°0093845 du 02-02-2026</t>
  </si>
  <si>
    <t>REF-B N°009181 du 02-02-2026</t>
  </si>
  <si>
    <t>N°0056380 du 03-02-2026</t>
  </si>
  <si>
    <t>REF-B N°000533 du 03-02-2026</t>
  </si>
  <si>
    <t>N°0005428 du 03-02-2026</t>
  </si>
  <si>
    <t>REF-A N°012688 du 03-02-2026</t>
  </si>
  <si>
    <t>REF-B N°004696 du 03-02-2026</t>
  </si>
  <si>
    <t>N°0088367 du 03-02-2026</t>
  </si>
  <si>
    <t>REF-B N°001446 du 03-02-2026</t>
  </si>
  <si>
    <t>N°0042970 du 04-02-2026</t>
  </si>
  <si>
    <t>REF-A N°004749 du 04-02-2026</t>
  </si>
  <si>
    <t>REF-B N°002829 du 04-02-2026</t>
  </si>
  <si>
    <t>N°0094262 du 04-02-2026</t>
  </si>
  <si>
    <t>REF-B N°001996 du 04-02-2026</t>
  </si>
  <si>
    <t>N°0099547 du 05-02-2026</t>
  </si>
  <si>
    <t>REF-B N°004531 du 05-02-2026</t>
  </si>
  <si>
    <t>N°0015008 du 05-02-2026</t>
  </si>
  <si>
    <t>REF-B N°003962 du 05-02-2026</t>
  </si>
  <si>
    <t>N°0062350 du 05-02-2026</t>
  </si>
  <si>
    <t>REF-A N°009556 du 05-02-2026</t>
  </si>
  <si>
    <t>REF-B N°003926 du 05-02-2026</t>
  </si>
  <si>
    <t>N°0069626 du 05-02-2026</t>
  </si>
  <si>
    <t>REF-A N°002159 du 05-02-2026</t>
  </si>
  <si>
    <t>REF-B N°003954 du 05-02-2026</t>
  </si>
  <si>
    <t>N°0002691 du 05-02-2026</t>
  </si>
  <si>
    <t>REF-B N°005640 du 05-02-2026</t>
  </si>
  <si>
    <t>N°0015281 du 05-02-2026</t>
  </si>
  <si>
    <t>REF-A N°003317 du 05-02-2026</t>
  </si>
  <si>
    <t>REF-B N°008290 du 05-02-2026</t>
  </si>
  <si>
    <t>N°0034620 du 05-02-2026</t>
  </si>
  <si>
    <t>REF-B N°008047 du 05-02-2026</t>
  </si>
  <si>
    <t>N°0045396 du 06-02-2026</t>
  </si>
  <si>
    <t>REF-A N°007882 du 06-02-2026</t>
  </si>
  <si>
    <t>REF-B N°004270 du 06-02-2026</t>
  </si>
  <si>
    <t>N°0029772 du 06-02-2026</t>
  </si>
  <si>
    <t>REF-A N°006533 du 06-02-2026</t>
  </si>
  <si>
    <t>REF-B N°008925 du 06-02-2026</t>
  </si>
  <si>
    <t>N°0076907 du 06-02-2026</t>
  </si>
  <si>
    <t>REF-A N°006741 du 06-02-2026</t>
  </si>
  <si>
    <t>REF-B N°008006 du 06-02-2026</t>
  </si>
  <si>
    <t>N°0048490 du 10-02-2026</t>
  </si>
  <si>
    <t>REF-A N°007028 du 10-02-2026</t>
  </si>
  <si>
    <t>REF-B N°002684 du 10-02-2026</t>
  </si>
  <si>
    <t>N°0013129 du 10-02-2026</t>
  </si>
  <si>
    <t>REF-B N°005694 du 10-02-2026</t>
  </si>
  <si>
    <t>N°0087524 du 10-02-2026</t>
  </si>
  <si>
    <t>REF-B N°002963 du 10-02-2026</t>
  </si>
  <si>
    <t>N°0041320 du 10-02-2026</t>
  </si>
  <si>
    <t>REF-A N°009605 du 10-02-2026</t>
  </si>
  <si>
    <t>REF-B N°005115 du 10-02-2026</t>
  </si>
  <si>
    <t>N°0039617 du 11-02-2026</t>
  </si>
  <si>
    <t>REF-B N°001886 du 11-02-2026</t>
  </si>
  <si>
    <t>N°0044846 du 11-02-2026</t>
  </si>
  <si>
    <t>REF-A N°007155 du 11-02-2026</t>
  </si>
  <si>
    <t>REF-B N°008797 du 11-02-2026</t>
  </si>
  <si>
    <t>N°0006572 du 11-02-2026</t>
  </si>
  <si>
    <t>REF-B N°002963 du 11-02-2026</t>
  </si>
  <si>
    <t>N°0027764 du 12-02-2026</t>
  </si>
  <si>
    <t>REF-A N°015261 du 12-02-2026</t>
  </si>
  <si>
    <t>REF-B N°005398 du 12-02-2026</t>
  </si>
  <si>
    <t>N°0035743 du 12-02-2026</t>
  </si>
  <si>
    <t>REF-A N°002462 du 12-02-2026</t>
  </si>
  <si>
    <t>REF-B N°009042 du 12-02-2026</t>
  </si>
  <si>
    <t>N°0040744 du 12-02-2026</t>
  </si>
  <si>
    <t>REF-A N°015219 du 12-02-2026</t>
  </si>
  <si>
    <t>REF-B N°005219 du 12-02-2026</t>
  </si>
  <si>
    <t>N°0033814 du 13-02-2026</t>
  </si>
  <si>
    <t>REF-A N°010694 du 13-02-2026</t>
  </si>
  <si>
    <t>REF-B N°008752 du 13-02-2026</t>
  </si>
  <si>
    <t>N°0072583 du 13-02-2026</t>
  </si>
  <si>
    <t>REF-A N°009708 du 13-02-2026</t>
  </si>
  <si>
    <t>REF-B N°001395 du 13-02-2026</t>
  </si>
  <si>
    <t>N°0065086 du 13-02-2026</t>
  </si>
  <si>
    <t>REF-A N°008880 du 13-02-2026</t>
  </si>
  <si>
    <t>REF-B N°001849 du 13-02-2026</t>
  </si>
  <si>
    <t>N°0006999 du 13-02-2026</t>
  </si>
  <si>
    <t>REF-B N°007152 du 13-02-2026</t>
  </si>
  <si>
    <t>N°0008491 du 13-02-2026</t>
  </si>
  <si>
    <t>REF-A N°009574 du 13-02-2026</t>
  </si>
  <si>
    <t>REF-B N°005867 du 13-02-2026</t>
  </si>
  <si>
    <t>N°0009103 du 16-02-2026</t>
  </si>
  <si>
    <t>Structure fictive 01</t>
  </si>
  <si>
    <t>REF-A N°015599 du 16-02-2026</t>
  </si>
  <si>
    <t>REF-B N°003483 du 16-02-2026</t>
  </si>
  <si>
    <t>N°0033375 du 16-02-2026</t>
  </si>
  <si>
    <t>REF-A N°008754 du 16-02-2026</t>
  </si>
  <si>
    <t>REF-B N°008045 du 16-02-2026</t>
  </si>
  <si>
    <t>N°0074224 du 16-02-2026</t>
  </si>
  <si>
    <t>REF-B N°001865 du 16-02-2026</t>
  </si>
  <si>
    <t>N°0045288 du 16-02-2026</t>
  </si>
  <si>
    <t>REF-B N°001260 du 16-02-2026</t>
  </si>
  <si>
    <t>N°0092895 du 16-02-2026</t>
  </si>
  <si>
    <t>REF-B N°006725 du 16-02-2026</t>
  </si>
  <si>
    <t>N°0009964 du 16-02-2026</t>
  </si>
  <si>
    <t>REF-A N°011115 du 16-02-2026</t>
  </si>
  <si>
    <t>REF-B N°002704 du 16-02-2026</t>
  </si>
  <si>
    <t>N°0016311 du 17-02-2026</t>
  </si>
  <si>
    <t>REF-B N°005842 du 17-02-2026</t>
  </si>
  <si>
    <t>N°0057601 du 17-02-2026</t>
  </si>
  <si>
    <t>REF-A N°008626 du 17-02-2026</t>
  </si>
  <si>
    <t>REF-B N°004661 du 17-02-2026</t>
  </si>
  <si>
    <t>N°0094387 du 17-02-2026</t>
  </si>
  <si>
    <t>REF-A N°018674 du 17-02-2026</t>
  </si>
  <si>
    <t>REF-B N°007002 du 17-02-2026</t>
  </si>
  <si>
    <t>N°0075923 du 17-02-2026</t>
  </si>
  <si>
    <t>REF-A N°008276 du 17-02-2026</t>
  </si>
  <si>
    <t>REF-B N°000550 du 17-02-2026</t>
  </si>
  <si>
    <t>N°0046462 du 17-02-2026</t>
  </si>
  <si>
    <t>REF-B N°002723 du 17-02-2026</t>
  </si>
  <si>
    <t>N°0026439 du 18-02-2026</t>
  </si>
  <si>
    <t>REF-B N°005167 du 18-02-2026</t>
  </si>
  <si>
    <t>N°0099897 du 20-02-2026</t>
  </si>
  <si>
    <t>REF-A N°014542 du 20-02-2026</t>
  </si>
  <si>
    <t>REF-B N°003377 du 20-02-2026</t>
  </si>
  <si>
    <t>N°0087011 du 20-02-2026</t>
  </si>
  <si>
    <t>REF-B N°005023 du 20-02-2026</t>
  </si>
  <si>
    <t>N°0065103 du 23-02-2026</t>
  </si>
  <si>
    <t>REF-B N°005017 du 23-02-2026</t>
  </si>
  <si>
    <t>N°0016879 du 23-02-2026</t>
  </si>
  <si>
    <t>REF-B N°008499 du 23-02-2026</t>
  </si>
  <si>
    <t>N°0075023 du 23-02-2026</t>
  </si>
  <si>
    <t>REF-B N°009007 du 23-02-2026</t>
  </si>
  <si>
    <t>N°0066163 du 24-02-2026</t>
  </si>
  <si>
    <t>REF-A N°009234 du 24-02-2026</t>
  </si>
  <si>
    <t>REF-B N°003940 du 24-02-2026</t>
  </si>
  <si>
    <t>N°0088333 du 24-02-2026</t>
  </si>
  <si>
    <t>REF-B N°004235 du 24-02-2026</t>
  </si>
  <si>
    <t>N°0081209 du 24-02-2026</t>
  </si>
  <si>
    <t>REF-B N°006611 du 24-02-2026</t>
  </si>
  <si>
    <t>N°0048502 du 24-02-2026</t>
  </si>
  <si>
    <t>REF-A N°009297 du 24-02-2026</t>
  </si>
  <si>
    <t>REF-B N°009828 du 24-02-2026</t>
  </si>
  <si>
    <t>N°0084563 du 24-02-2026</t>
  </si>
  <si>
    <t>REF-B N°003116 du 24-02-2026</t>
  </si>
  <si>
    <t>N°0033599 du 25-02-2026</t>
  </si>
  <si>
    <t>REF-A N°005458 du 25-02-2026</t>
  </si>
  <si>
    <t>REF-B N°007062 du 25-02-2026</t>
  </si>
  <si>
    <t>N°0026168 du 25-02-2026</t>
  </si>
  <si>
    <t>REF-B N°005547 du 25-02-2026</t>
  </si>
  <si>
    <t>N°0040622 du 25-02-2026</t>
  </si>
  <si>
    <t>REF-B N°002803 du 25-02-2026</t>
  </si>
  <si>
    <t>N°0024789 du 25-02-2026</t>
  </si>
  <si>
    <t>REF-A N°006597 du 25-02-2026</t>
  </si>
  <si>
    <t>REF-B N°000303 du 25-02-2026</t>
  </si>
  <si>
    <t>N°0073257 du 25-02-2026</t>
  </si>
  <si>
    <t>REF-B N°005355 du 25-02-2026</t>
  </si>
  <si>
    <t>N°0061441 du 25-02-2026</t>
  </si>
  <si>
    <t>REF-A N°012909 du 25-02-2026</t>
  </si>
  <si>
    <t>REF-B N°009709 du 25-02-2026</t>
  </si>
  <si>
    <t>N°0005698 du 25-02-2026</t>
  </si>
  <si>
    <t>REF-B N°007491 du 25-02-2026</t>
  </si>
  <si>
    <t>N°0006069 du 25-02-2026</t>
  </si>
  <si>
    <t>REF-A N°014432 du 25-02-2026</t>
  </si>
  <si>
    <t>REF-B N°001214 du 25-02-2026</t>
  </si>
  <si>
    <t>N°0001218 du 25-02-2026</t>
  </si>
  <si>
    <t>REF-A N°010625 du 25-02-2026</t>
  </si>
  <si>
    <t>REF-B N°009056 du 25-02-2026</t>
  </si>
  <si>
    <t>N°0010274 du 25-02-2026</t>
  </si>
  <si>
    <t>REF-A N°009095 du 25-02-2026</t>
  </si>
  <si>
    <t>REF-B N°001160 du 25-02-2026</t>
  </si>
  <si>
    <t>N°0007219 du 26-02-2026</t>
  </si>
  <si>
    <t>REF-B N°005876 du 26-02-2026</t>
  </si>
  <si>
    <t>Transmission d'un procès-verbal fictif</t>
  </si>
  <si>
    <t>N°0075897 du 26-02-2026</t>
  </si>
  <si>
    <t>REF-A N°005865 du 26-02-2026</t>
  </si>
  <si>
    <t>REF-B N°009009 du 26-02-2026</t>
  </si>
  <si>
    <t>N°0039472 du 27-02-2026</t>
  </si>
  <si>
    <t>REF-B N°007699 du 27-02-2026</t>
  </si>
  <si>
    <t>N°0012517 du 27-02-2026</t>
  </si>
  <si>
    <t>REF-A N°009956 du 27-02-2026</t>
  </si>
  <si>
    <t>REF-B N°007141 du 27-02-2026</t>
  </si>
  <si>
    <t>N°0027043 du 27-02-2026</t>
  </si>
  <si>
    <t>REF-A N°009600 du 27-02-2026</t>
  </si>
  <si>
    <t>REF-B N°000420 du 27-02-2026</t>
  </si>
  <si>
    <t>N°0083569 du 27-02-2026</t>
  </si>
  <si>
    <t>REF-A N°004182 du 27-02-2026</t>
  </si>
  <si>
    <t>REF-B N°001600 du 27-02-2026</t>
  </si>
  <si>
    <t>N°0003204 du 27-02-2026</t>
  </si>
  <si>
    <t>REF-B N°005273 du 27-02-2026</t>
  </si>
  <si>
    <t>N°0087837 du 02-03-2026</t>
  </si>
  <si>
    <t>REF-B N°000701 du 02-03-2026</t>
  </si>
  <si>
    <t>N°0053353 du 02-03-2026</t>
  </si>
  <si>
    <t>REF-B N°004341 du 02-03-2026</t>
  </si>
  <si>
    <t>N°0057034 du 02-03-2026</t>
  </si>
  <si>
    <t>REF-A N°018829 du 02-03-2026</t>
  </si>
  <si>
    <t>REF-B N°002440 du 02-03-2026</t>
  </si>
  <si>
    <t>N°0076280 du 02-03-2026</t>
  </si>
  <si>
    <t>REF-A N°018385 du 02-03-2026</t>
  </si>
  <si>
    <t>REF-B N°004923 du 02-03-2026</t>
  </si>
  <si>
    <t>N°0085129 du 02-03-2026</t>
  </si>
  <si>
    <t>REF-A N°012979 du 02-03-2026</t>
  </si>
  <si>
    <t>REF-B N°008136 du 02-03-2026</t>
  </si>
  <si>
    <t>N°0033307 du 02-03-2026</t>
  </si>
  <si>
    <t>REF-B N°003012 du 02-03-2026</t>
  </si>
  <si>
    <t>N°0015937 du 03-03-2026</t>
  </si>
  <si>
    <t>REF-A N°019723 du 03-03-2026</t>
  </si>
  <si>
    <t>REF-B N°007873 du 03-03-2026</t>
  </si>
  <si>
    <t>N°0069159 du 03-03-2026</t>
  </si>
  <si>
    <t>REF-A N°019632 du 03-03-2026</t>
  </si>
  <si>
    <t>REF-B N°003769 du 03-03-2026</t>
  </si>
  <si>
    <t>N°0003549 du 03-03-2026</t>
  </si>
  <si>
    <t>REF-B N°007825 du 03-03-2026</t>
  </si>
  <si>
    <t>N°0048462 du 03-03-2026</t>
  </si>
  <si>
    <t>REF-A N°008439 du 03-03-2026</t>
  </si>
  <si>
    <t>REF-B N°005167 du 03-03-2026</t>
  </si>
  <si>
    <t>N°0099964 du 03-03-2026</t>
  </si>
  <si>
    <t>REF-A N°019725 du 03-03-2026</t>
  </si>
  <si>
    <t>REF-B N°008241 du 03-03-2026</t>
  </si>
  <si>
    <t>N°0021422 du 04-03-2026</t>
  </si>
  <si>
    <t>REF-B N°005899 du 04-03-2026</t>
  </si>
  <si>
    <t>N°0017000 du 04-03-2026</t>
  </si>
  <si>
    <t>REF-B N°001069 du 04-03-2026</t>
  </si>
  <si>
    <t>N°0042017 du 05-03-2026</t>
  </si>
  <si>
    <t>REF-A N°016777 du 05-03-2026</t>
  </si>
  <si>
    <t>REF-B N°006309 du 05-03-2026</t>
  </si>
  <si>
    <t>N°0069421 du 05-03-2026</t>
  </si>
  <si>
    <t>REF-A N°016719 du 05-03-2026</t>
  </si>
  <si>
    <t>REF-B N°006249 du 05-03-2026</t>
  </si>
  <si>
    <t>N°0092217 du 05-03-2026</t>
  </si>
  <si>
    <t>REF-A N°007706 du 05-03-2026</t>
  </si>
  <si>
    <t>REF-B N°001589 du 05-03-2026</t>
  </si>
  <si>
    <t>N°0070063 du 06-03-2026</t>
  </si>
  <si>
    <t>REF-A N°014025 du 06-03-2026</t>
  </si>
  <si>
    <t>REF-B N°001983 du 06-03-2026</t>
  </si>
  <si>
    <t>N°0024490 du 06-03-2026</t>
  </si>
  <si>
    <t>REF-B N°002676 du 06-03-2026</t>
  </si>
  <si>
    <t>N°0043527 du 06-03-2026</t>
  </si>
  <si>
    <t>REF-B N°000877 du 06-03-2026</t>
  </si>
  <si>
    <t>N°0067634 du 06-03-2026</t>
  </si>
  <si>
    <t>REF-A N°019399 du 06-03-2026</t>
  </si>
  <si>
    <t>REF-B N°005331 du 06-03-2026</t>
  </si>
  <si>
    <t>N°0002538 du 06-03-2026</t>
  </si>
  <si>
    <t>REF-A N°009886 du 06-03-2026</t>
  </si>
  <si>
    <t>REF-B N°000300 du 06-03-2026</t>
  </si>
  <si>
    <t>N°0007815 du 06-03-2026</t>
  </si>
  <si>
    <t>REF-B N°008032 du 06-03-2026</t>
  </si>
  <si>
    <t>N°0006275 du 06-03-2026</t>
  </si>
  <si>
    <t>REF-A N°019803 du 06-03-2026</t>
  </si>
  <si>
    <t>REF-B N°007602 du 06-03-2026</t>
  </si>
  <si>
    <t>N°0003623 du 09-03-2026</t>
  </si>
  <si>
    <t>REF-B N°005425 du 09-03-2026</t>
  </si>
  <si>
    <t>N°0061466 du 09-03-2026</t>
  </si>
  <si>
    <t>REF-A N°007688 du 09-03-2026</t>
  </si>
  <si>
    <t>REF-B N°007879 du 09-03-2026</t>
  </si>
  <si>
    <t>N°0057941 du 10-03-2026</t>
  </si>
  <si>
    <t>REF-A N°001405 du 10-03-2026</t>
  </si>
  <si>
    <t>REF-B N°003610 du 10-03-2026</t>
  </si>
  <si>
    <t>N°0031176 du 10-03-2026</t>
  </si>
  <si>
    <t>REF-A N°018087 du 10-03-2026</t>
  </si>
  <si>
    <t>REF-B N°005230 du 10-03-2026</t>
  </si>
  <si>
    <t>N°0018751 du 10-03-2026</t>
  </si>
  <si>
    <t>REF-A N°006968 du 10-03-2026</t>
  </si>
  <si>
    <t>REF-B N°002333 du 10-03-2026</t>
  </si>
  <si>
    <t>N°0040363 du 10-03-2026</t>
  </si>
  <si>
    <t>REF-A N°012613 du 10-03-2026</t>
  </si>
  <si>
    <t>REF-B N°006453 du 10-03-2026</t>
  </si>
  <si>
    <t>N°0018914 du 10-03-2026</t>
  </si>
  <si>
    <t>REF-A N°002368 du 10-03-2026</t>
  </si>
  <si>
    <t>REF-B N°000214 du 10-03-2026</t>
  </si>
  <si>
    <t>N°0017806 du 11-03-2026</t>
  </si>
  <si>
    <t>REF-A N°012984 du 11-03-2026</t>
  </si>
  <si>
    <t>REF-B N°002526 du 11-03-2026</t>
  </si>
  <si>
    <t>N°0014101 du 11-03-2026</t>
  </si>
  <si>
    <t>REF-B N°001087 du 11-03-2026</t>
  </si>
  <si>
    <t>N°0065261 du 12-03-2026</t>
  </si>
  <si>
    <t>REF-A N°002208 du 12-03-2026</t>
  </si>
  <si>
    <t>REF-B N°006608 du 12-03-2026</t>
  </si>
  <si>
    <t>N°0004898 du 12-03-2026</t>
  </si>
  <si>
    <t>REF-A N°017268 du 12-03-2026</t>
  </si>
  <si>
    <t>REF-B N°006658 du 12-03-2026</t>
  </si>
  <si>
    <t>N°0012842 du 13-03-2026</t>
  </si>
  <si>
    <t>REF-B N°006053 du 13-03-2026</t>
  </si>
  <si>
    <t>N°0095179 du 13-03-2026</t>
  </si>
  <si>
    <t>REF-B N°006773 du 13-03-2026</t>
  </si>
  <si>
    <t>N°0001652 du 13-03-2026</t>
  </si>
  <si>
    <t>REF-B N°007837 du 13-03-2026</t>
  </si>
  <si>
    <t>N°0033775 du 13-03-2026</t>
  </si>
  <si>
    <t>REF-A N°013957 du 13-03-2026</t>
  </si>
  <si>
    <t>REF-B N°002870 du 13-03-2026</t>
  </si>
  <si>
    <t>N°0022448 du 16-03-2026</t>
  </si>
  <si>
    <t>REF-A N°015538 du 16-03-2026</t>
  </si>
  <si>
    <t>REF-B N°004017 du 16-03-2026</t>
  </si>
  <si>
    <t>N°0001178 du 16-03-2026</t>
  </si>
  <si>
    <t>REF-B N°009134 du 16-03-2026</t>
  </si>
  <si>
    <t>N°0081951 du 16-03-2026</t>
  </si>
  <si>
    <t>REF-B N°007916 du 16-03-2026</t>
  </si>
  <si>
    <t>N°0012500 du 17-03-2026</t>
  </si>
  <si>
    <t>REF-B N°008980 du 17-03-2026</t>
  </si>
  <si>
    <t>N°0085296 du 17-03-2026</t>
  </si>
  <si>
    <t>REF-B N°009651 du 17-03-2026</t>
  </si>
  <si>
    <t>N°0056504 du 18-03-2026</t>
  </si>
  <si>
    <t>REF-A N°002958 du 18-03-2026</t>
  </si>
  <si>
    <t>REF-B N°007184 du 18-03-2026</t>
  </si>
  <si>
    <t>N°0081492 du 18-03-2026</t>
  </si>
  <si>
    <t>REF-A N°012736 du 18-03-2026</t>
  </si>
  <si>
    <t>REF-B N°002436 du 18-03-2026</t>
  </si>
  <si>
    <t>N°0095618 du 19-03-2026</t>
  </si>
  <si>
    <t>REF-A N°011900 du 19-03-2026</t>
  </si>
  <si>
    <t>REF-B N°003552 du 19-03-2026</t>
  </si>
  <si>
    <t>N°0004692 du 19-03-2026</t>
  </si>
  <si>
    <t>REF-A N°008726 du 19-03-2026</t>
  </si>
  <si>
    <t>REF-B N°003102 du 19-03-2026</t>
  </si>
  <si>
    <t>N°0033151 du 19-03-2026</t>
  </si>
  <si>
    <t>REF-B N°007656 du 19-03-2026</t>
  </si>
  <si>
    <t>N°0001763 du 19-03-2026</t>
  </si>
  <si>
    <t>REF-A N°003104 du 19-03-2026</t>
  </si>
  <si>
    <t>REF-B N°009519 du 19-03-2026</t>
  </si>
  <si>
    <t>N°0099827 du 19-03-2026</t>
  </si>
  <si>
    <t>REF-B N°007833 du 19-03-2026</t>
  </si>
  <si>
    <t>N°0038767 du 19-03-2026</t>
  </si>
  <si>
    <t>REF-A N°012445 du 19-03-2026</t>
  </si>
  <si>
    <t>REF-B N°006339 du 19-03-2026</t>
  </si>
  <si>
    <t>N°0095813 du 20-03-2026</t>
  </si>
  <si>
    <t>REF-B N°005743 du 20-03-2026</t>
  </si>
  <si>
    <t>N°0067519 du 20-03-2026</t>
  </si>
  <si>
    <t>REF-B N°009663 du 20-03-2026</t>
  </si>
  <si>
    <t>N°0047169 du 20-03-2026</t>
  </si>
  <si>
    <t>REF-A N°005878 du 20-03-2026</t>
  </si>
  <si>
    <t>REF-B N°005997 du 20-03-2026</t>
  </si>
  <si>
    <t>N°0034229 du 23-03-2026</t>
  </si>
  <si>
    <t>REF-A N°011818 du 23-03-2026</t>
  </si>
  <si>
    <t>REF-B N°005069 du 23-03-2026</t>
  </si>
  <si>
    <t>N°0028332 du 23-03-2026</t>
  </si>
  <si>
    <t>REF-A N°007300 du 23-03-2026</t>
  </si>
  <si>
    <t>REF-B N°000542 du 23-03-2026</t>
  </si>
  <si>
    <t>N°0057314 du 23-03-2026</t>
  </si>
  <si>
    <t>REF-B N°006607 du 23-03-2026</t>
  </si>
  <si>
    <t>N°0065593 du 26-03-2026</t>
  </si>
  <si>
    <t>REF-B N°007538 du 26-03-2026</t>
  </si>
  <si>
    <t>N°0057295 du 26-03-2026</t>
  </si>
  <si>
    <t>REF-A N°013600 du 26-03-2026</t>
  </si>
  <si>
    <t>REF-B N°004318 du 26-03-2026</t>
  </si>
  <si>
    <t>N°0041741 du 26-03-2026</t>
  </si>
  <si>
    <t>REF-B N°003625 du 26-03-2026</t>
  </si>
  <si>
    <t>N°0036719 du 26-03-2026</t>
  </si>
  <si>
    <t>REF-A N°004562 du 26-03-2026</t>
  </si>
  <si>
    <t>REF-B N°008426 du 26-03-2026</t>
  </si>
  <si>
    <t>N°0004856 du 27-03-2026</t>
  </si>
  <si>
    <t>REF-A N°005399 du 27-03-2026</t>
  </si>
  <si>
    <t>REF-B N°004119 du 27-03-2026</t>
  </si>
  <si>
    <t>N°0059736 du 27-03-2026</t>
  </si>
  <si>
    <t>REF-B N°001437 du 27-03-2026</t>
  </si>
  <si>
    <t>N°0064224 du 27-03-2026</t>
  </si>
  <si>
    <t>REF-B N°007149 du 27-03-2026</t>
  </si>
  <si>
    <t>N°0087453 du 27-03-2026</t>
  </si>
  <si>
    <t>REF-A N°017652 du 27-03-2026</t>
  </si>
  <si>
    <t>REF-B N°006774 du 27-03-2026</t>
  </si>
  <si>
    <t>N°0055483 du 27-03-2026</t>
  </si>
  <si>
    <t>REF-B N°006052 du 27-03-2026</t>
  </si>
  <si>
    <t>N°0023691 du 27-03-2026</t>
  </si>
  <si>
    <t>REF-B N°009657 du 27-03-2026</t>
  </si>
  <si>
    <t>N°0072191 du 30-03-2026</t>
  </si>
  <si>
    <t>REF-B N°001169 du 30-03-2026</t>
  </si>
  <si>
    <t>N°0081892 du 30-03-2026</t>
  </si>
  <si>
    <t>REF-A N°017214 du 30-03-2026</t>
  </si>
  <si>
    <t>REF-B N°000607 du 30-03-2026</t>
  </si>
  <si>
    <t>N°0084194 du 30-03-2026</t>
  </si>
  <si>
    <t>REF-A N°011371 du 30-03-2026</t>
  </si>
  <si>
    <t>REF-B N°005899 du 30-03-2026</t>
  </si>
  <si>
    <t>N°0043135 du 31-03-2026</t>
  </si>
  <si>
    <t>REF-A N°017678 du 31-03-2026</t>
  </si>
  <si>
    <t>REF-B N°006902 du 31-03-2026</t>
  </si>
  <si>
    <t>N°0044773 du 31-03-2026</t>
  </si>
  <si>
    <t>REF-B N°005752 du 31-03-2026</t>
  </si>
  <si>
    <t>N°0011815 du 02-04-2026</t>
  </si>
  <si>
    <t>REF-A N°007737 du 02-04-2026</t>
  </si>
  <si>
    <t>REF-B N°001951 du 02-04-2026</t>
  </si>
  <si>
    <t>N°0094952 du 02-04-2026</t>
  </si>
  <si>
    <t>REF-B N°001777 du 02-04-2026</t>
  </si>
  <si>
    <t>N°0054395 du 02-04-2026</t>
  </si>
  <si>
    <t>REF-B N°004868 du 02-04-2026</t>
  </si>
  <si>
    <t>N°0043598 du 02-04-2026</t>
  </si>
  <si>
    <t>REF-A N°013222 du 02-04-2026</t>
  </si>
  <si>
    <t>REF-B N°000162 du 02-04-2026</t>
  </si>
  <si>
    <t>N°0034246 du 02-04-2026</t>
  </si>
  <si>
    <t>REF-A N°014798 du 02-04-2026</t>
  </si>
  <si>
    <t>REF-B N°003640 du 02-04-2026</t>
  </si>
  <si>
    <t>N°0004454 du 02-04-2026</t>
  </si>
  <si>
    <t>REF-A N°011477 du 02-04-2026</t>
  </si>
  <si>
    <t>REF-B N°005431 du 02-04-2026</t>
  </si>
  <si>
    <t>N°0027800 du 02-04-2026</t>
  </si>
  <si>
    <t>REF-A N°013806 du 02-04-2026</t>
  </si>
  <si>
    <t>REF-B N°007900 du 02-04-2026</t>
  </si>
  <si>
    <t>N°0060933 du 03-04-2026</t>
  </si>
  <si>
    <t>REF-B N°004423 du 03-04-2026</t>
  </si>
  <si>
    <t>N°0049366 du 06-04-2026</t>
  </si>
  <si>
    <t>REF-B N°000754 du 06-04-2026</t>
  </si>
  <si>
    <t>N°0016962 du 06-04-2026</t>
  </si>
  <si>
    <t>REF-A N°013799 du 06-04-2026</t>
  </si>
  <si>
    <t>REF-B N°000225 du 06-04-2026</t>
  </si>
  <si>
    <t>N°0086923 du 06-04-2026</t>
  </si>
  <si>
    <t>REF-A N°008135 du 06-04-2026</t>
  </si>
  <si>
    <t>REF-B N°004372 du 06-04-2026</t>
  </si>
  <si>
    <t>N°0036718 du 06-04-2026</t>
  </si>
  <si>
    <t>REF-B N°009671 du 06-04-2026</t>
  </si>
  <si>
    <t>N°0009202 du 06-04-2026</t>
  </si>
  <si>
    <t>REF-A N°005347 du 06-04-2026</t>
  </si>
  <si>
    <t>REF-B N°002691 du 06-04-2026</t>
  </si>
  <si>
    <t>N°0091312 du 07-04-2026</t>
  </si>
  <si>
    <t>REF-B N°009643 du 07-04-2026</t>
  </si>
  <si>
    <t>N°0000145 du 07-04-2026</t>
  </si>
  <si>
    <t>REF-A N°009757 du 07-04-2026</t>
  </si>
  <si>
    <t>REF-B N°007996 du 07-04-2026</t>
  </si>
  <si>
    <t>N°0010312 du 07-04-2026</t>
  </si>
  <si>
    <t>REF-B N°006931 du 07-04-2026</t>
  </si>
  <si>
    <t>N°0022061 du 07-04-2026</t>
  </si>
  <si>
    <t>REF-B N°007814 du 07-04-2026</t>
  </si>
  <si>
    <t>N°0092509 du 08-04-2026</t>
  </si>
  <si>
    <t>REF-A N°002793 du 08-04-2026</t>
  </si>
  <si>
    <t>REF-B N°004837 du 08-04-2026</t>
  </si>
  <si>
    <t>N°0007213 du 08-04-2026</t>
  </si>
  <si>
    <t>REF-A N°003114 du 08-04-2026</t>
  </si>
  <si>
    <t>REF-B N°000817 du 08-04-2026</t>
  </si>
  <si>
    <t>N°0025875 du 08-04-2026</t>
  </si>
  <si>
    <t>REF-B N°001145 du 08-04-2026</t>
  </si>
  <si>
    <t>N°0055460 du 10-04-2026</t>
  </si>
  <si>
    <t>REF-B N°005012 du 10-04-2026</t>
  </si>
  <si>
    <t>N°0013988 du 13-04-2026</t>
  </si>
  <si>
    <t>REF-B N°000135 du 13-04-2026</t>
  </si>
  <si>
    <t>N°0016294 du 13-04-2026</t>
  </si>
  <si>
    <t>REF-A N°013893 du 13-04-2026</t>
  </si>
  <si>
    <t>REF-B N°001600 du 13-04-2026</t>
  </si>
  <si>
    <t>N°0054712 du 13-04-2026</t>
  </si>
  <si>
    <t>REF-A N°015565 du 13-04-2026</t>
  </si>
  <si>
    <t>REF-B N°000316 du 13-04-2026</t>
  </si>
  <si>
    <t>N°0072017 du 14-04-2026</t>
  </si>
  <si>
    <t>REF-A N°006804 du 14-04-2026</t>
  </si>
  <si>
    <t>REF-B N°002169 du 14-04-2026</t>
  </si>
  <si>
    <t>N°0006725 du 14-04-2026</t>
  </si>
  <si>
    <t>REF-A N°015785 du 14-04-2026</t>
  </si>
  <si>
    <t>REF-B N°001165 du 14-04-2026</t>
  </si>
  <si>
    <t>N°0034914 du 14-04-2026</t>
  </si>
  <si>
    <t>REF-B N°005512 du 14-04-2026</t>
  </si>
  <si>
    <t>N°0059574 du 14-04-2026</t>
  </si>
  <si>
    <t>REF-B N°001108 du 14-04-2026</t>
  </si>
  <si>
    <t>N°0070705 du 14-04-2026</t>
  </si>
  <si>
    <t>REF-A N°016668 du 14-04-2026</t>
  </si>
  <si>
    <t>REF-B N°002759 du 14-04-2026</t>
  </si>
  <si>
    <t>N°0006623 du 14-04-2026</t>
  </si>
  <si>
    <t>REF-B N°007282 du 14-04-2026</t>
  </si>
  <si>
    <t>N°0031144 du 15-04-2026</t>
  </si>
  <si>
    <t>REF-B N°007065 du 15-04-2026</t>
  </si>
  <si>
    <t>N°0014352 du 15-04-2026</t>
  </si>
  <si>
    <t>REF-A N°005609 du 15-04-2026</t>
  </si>
  <si>
    <t>REF-B N°001532 du 15-04-2026</t>
  </si>
  <si>
    <t>N°0015434 du 15-04-2026</t>
  </si>
  <si>
    <t>REF-A N°011249 du 15-04-2026</t>
  </si>
  <si>
    <t>REF-B N°008430 du 15-04-2026</t>
  </si>
  <si>
    <t>N°0008748 du 15-04-2026</t>
  </si>
  <si>
    <t>REF-A N°010386 du 15-04-2026</t>
  </si>
  <si>
    <t>REF-B N°004844 du 15-04-2026</t>
  </si>
  <si>
    <t>N°0031692 du 15-04-2026</t>
  </si>
  <si>
    <t>REF-A N°006085 du 15-04-2026</t>
  </si>
  <si>
    <t>REF-B N°004454 du 15-04-2026</t>
  </si>
  <si>
    <t>N°0076717 du 16-04-2026</t>
  </si>
  <si>
    <t>REF-B N°008343 du 16-04-2026</t>
  </si>
  <si>
    <t>N°0065127 du 16-04-2026</t>
  </si>
  <si>
    <t>REF-B N°002148 du 16-04-2026</t>
  </si>
  <si>
    <t>N°0030105 du 17-04-2026</t>
  </si>
  <si>
    <t>REF-B N°001589 du 17-04-2026</t>
  </si>
  <si>
    <t>N°0011963 du 17-04-2026</t>
  </si>
  <si>
    <t>REF-B N°003628 du 17-04-2026</t>
  </si>
  <si>
    <t>N°0086561 du 17-04-2026</t>
  </si>
  <si>
    <t>REF-B N°006173 du 17-04-2026</t>
  </si>
  <si>
    <t>N°0061390 du 17-04-2026</t>
  </si>
  <si>
    <t>REF-A N°013127 du 17-04-2026</t>
  </si>
  <si>
    <t>REF-B N°000455 du 17-04-2026</t>
  </si>
  <si>
    <t>N°0090947 du 17-04-2026</t>
  </si>
  <si>
    <t>REF-A N°005203 du 17-04-2026</t>
  </si>
  <si>
    <t>REF-B N°008626 du 17-04-2026</t>
  </si>
  <si>
    <t>N°0009660 du 17-04-2026</t>
  </si>
  <si>
    <t>REF-B N°004599 du 17-04-2026</t>
  </si>
  <si>
    <t>N°0099573 du 17-04-2026</t>
  </si>
  <si>
    <t>REF-B N°006221 du 17-04-2026</t>
  </si>
  <si>
    <t>N°0020999 du 17-04-2026</t>
  </si>
  <si>
    <t>REF-A N°011947 du 17-04-2026</t>
  </si>
  <si>
    <t>REF-B N°001072 du 17-04-2026</t>
  </si>
  <si>
    <t>N°0043829 du 17-04-2026</t>
  </si>
  <si>
    <t>REF-B N°002673 du 17-04-2026</t>
  </si>
  <si>
    <t>N°0082193 du 20-04-2026</t>
  </si>
  <si>
    <t>REF-A N°007831 du 20-04-2026</t>
  </si>
  <si>
    <t>REF-B N°007838 du 20-04-2026</t>
  </si>
  <si>
    <t>N°0094104 du 20-04-2026</t>
  </si>
  <si>
    <t>REF-A N°001812 du 20-04-2026</t>
  </si>
  <si>
    <t>REF-B N°008784 du 20-04-2026</t>
  </si>
  <si>
    <t>N°0067382 du 20-04-2026</t>
  </si>
  <si>
    <t>REF-A N°010091 du 20-04-2026</t>
  </si>
  <si>
    <t>REF-B N°000139 du 20-04-2026</t>
  </si>
  <si>
    <t>N°0068791 du 21-04-2026</t>
  </si>
  <si>
    <t>REF-A N°008471 du 21-04-2026</t>
  </si>
  <si>
    <t>REF-B N°003724 du 21-04-2026</t>
  </si>
  <si>
    <t>N°0097244 du 21-04-2026</t>
  </si>
  <si>
    <t>REF-A N°001585 du 21-04-2026</t>
  </si>
  <si>
    <t>REF-B N°008673 du 21-04-2026</t>
  </si>
  <si>
    <t>N°0098153 du 21-04-2026</t>
  </si>
  <si>
    <t>REF-B N°007125 du 21-04-2026</t>
  </si>
  <si>
    <t>N°0087587 du 21-04-2026</t>
  </si>
  <si>
    <t>REF-A N°009781 du 21-04-2026</t>
  </si>
  <si>
    <t>REF-B N°006489 du 21-04-2026</t>
  </si>
  <si>
    <t>N°0002288 du 22-04-2026</t>
  </si>
  <si>
    <t>REF-A N°008833 du 22-04-2026</t>
  </si>
  <si>
    <t>REF-B N°005470 du 22-04-2026</t>
  </si>
  <si>
    <t>N°0002018 du 23-04-2026</t>
  </si>
  <si>
    <t>REF-A N°014503 du 23-04-2026</t>
  </si>
  <si>
    <t>REF-B N°007763 du 23-04-2026</t>
  </si>
  <si>
    <t>N°0056288 du 23-04-2026</t>
  </si>
  <si>
    <t>REF-B N°001915 du 23-04-2026</t>
  </si>
  <si>
    <t>N°0011614 du 24-04-2026</t>
  </si>
  <si>
    <t>REF-A N°011307 du 24-04-2026</t>
  </si>
  <si>
    <t>REF-B N°007445 du 24-04-2026</t>
  </si>
  <si>
    <t>N°0009127 du 24-04-2026</t>
  </si>
  <si>
    <t>REF-A N°010616 du 24-04-2026</t>
  </si>
  <si>
    <t>REF-B N°003901 du 24-04-2026</t>
  </si>
  <si>
    <t>N°0082612 du 24-04-2026</t>
  </si>
  <si>
    <t>REF-B N°001184 du 24-04-2026</t>
  </si>
  <si>
    <t>N°0063278 du 24-04-2026</t>
  </si>
  <si>
    <t>REF-B N°009724 du 24-04-2026</t>
  </si>
  <si>
    <t>N°0030560 du 27-04-2026</t>
  </si>
  <si>
    <t>REF-A N°015586 du 27-04-2026</t>
  </si>
  <si>
    <t>REF-B N°007190 du 27-04-2026</t>
  </si>
  <si>
    <t>N°0027077 du 27-04-2026</t>
  </si>
  <si>
    <t>REF-B N°001148 du 27-04-2026</t>
  </si>
  <si>
    <t>N°0060407 du 27-04-2026</t>
  </si>
  <si>
    <t>REF-A N°013890 du 27-04-2026</t>
  </si>
  <si>
    <t>REF-B N°007651 du 27-04-2026</t>
  </si>
  <si>
    <t>N°0092193 du 27-04-2026</t>
  </si>
  <si>
    <t>REF-B N°000688 du 27-04-2026</t>
  </si>
  <si>
    <t>N°0073904 du 28-04-2026</t>
  </si>
  <si>
    <t>REF-A N°014187 du 28-04-2026</t>
  </si>
  <si>
    <t>REF-B N°003817 du 28-04-2026</t>
  </si>
  <si>
    <t>N°0039611 du 28-04-2026</t>
  </si>
  <si>
    <t>REF-B N°004855 du 28-04-2026</t>
  </si>
  <si>
    <t>N°0083481 du 29-04-2026</t>
  </si>
  <si>
    <t>REF-B N°000930 du 29-04-2026</t>
  </si>
  <si>
    <t>N°0039727 du 29-04-2026</t>
  </si>
  <si>
    <t>REF-B N°000650 du 29-04-2026</t>
  </si>
  <si>
    <t>N°0080922 du 30-04-2026</t>
  </si>
  <si>
    <t>REF-B N°003382 du 30-04-2026</t>
  </si>
  <si>
    <t>N°0022455 du 30-04-2026</t>
  </si>
  <si>
    <t>REF-A N°011773 du 30-04-2026</t>
  </si>
  <si>
    <t>REF-B N°002537 du 30-04-2026</t>
  </si>
  <si>
    <t>N°0024077 du 30-04-2026</t>
  </si>
  <si>
    <t>REF-B N°002879 du 30-04-2026</t>
  </si>
  <si>
    <t>N°0014770 du 01-05-2026</t>
  </si>
  <si>
    <t>REF-A N°015558 du 01-05-2026</t>
  </si>
  <si>
    <t>REF-B N°003714 du 01-05-2026</t>
  </si>
  <si>
    <t>N°0015736 du 01-05-2026</t>
  </si>
  <si>
    <t>REF-B N°006255 du 01-05-2026</t>
  </si>
  <si>
    <t>N°0088986 du 01-05-2026</t>
  </si>
  <si>
    <t>REF-B N°000294 du 01-05-2026</t>
  </si>
  <si>
    <t>N°0060026 du 04-05-2026</t>
  </si>
  <si>
    <t>REF-B N°001726 du 04-05-2026</t>
  </si>
  <si>
    <t>N°0086949 du 04-05-2026</t>
  </si>
  <si>
    <t>REF-A N°014178 du 04-05-2026</t>
  </si>
  <si>
    <t>REF-B N°005759 du 04-05-2026</t>
  </si>
  <si>
    <t>N°0095381 du 05-05-2026</t>
  </si>
  <si>
    <t>REF-B N°000306 du 05-05-2026</t>
  </si>
  <si>
    <t>N°0083013 du 05-05-2026</t>
  </si>
  <si>
    <t>REF-A N°008527 du 05-05-2026</t>
  </si>
  <si>
    <t>REF-B N°005263 du 05-05-2026</t>
  </si>
  <si>
    <t>N°0083294 du 05-05-2026</t>
  </si>
  <si>
    <t>REF-B N°003718 du 05-05-2026</t>
  </si>
  <si>
    <t>N°0079764 du 05-05-2026</t>
  </si>
  <si>
    <t>REF-A N°019924 du 05-05-2026</t>
  </si>
  <si>
    <t>REF-B N°005707 du 05-05-2026</t>
  </si>
  <si>
    <t>N°0077539 du 05-05-2026</t>
  </si>
  <si>
    <t>REF-B N°007306 du 05-05-2026</t>
  </si>
  <si>
    <t>N°0084922 du 05-05-2026</t>
  </si>
  <si>
    <t>REF-A N°011078 du 05-05-2026</t>
  </si>
  <si>
    <t>REF-B N°000680 du 05-05-2026</t>
  </si>
  <si>
    <t>N°0070726 du 06-05-2026</t>
  </si>
  <si>
    <t>REF-A N°019386 du 06-05-2026</t>
  </si>
  <si>
    <t>REF-B N°004494 du 06-05-2026</t>
  </si>
  <si>
    <t>N°0066359 du 06-05-2026</t>
  </si>
  <si>
    <t>REF-B N°007467 du 06-05-2026</t>
  </si>
  <si>
    <t>N°0071156 du 06-05-2026</t>
  </si>
  <si>
    <t>REF-B N°004524 du 06-05-2026</t>
  </si>
  <si>
    <t>N°0006545 du 06-05-2026</t>
  </si>
  <si>
    <t>REF-B N°006999 du 06-05-2026</t>
  </si>
  <si>
    <t>N°0062760 du 06-05-2026</t>
  </si>
  <si>
    <t>REF-A N°005198 du 06-05-2026</t>
  </si>
  <si>
    <t>REF-B N°009400 du 06-05-2026</t>
  </si>
  <si>
    <t>N°0047594 du 06-05-2026</t>
  </si>
  <si>
    <t>REF-B N°007001 du 06-05-2026</t>
  </si>
  <si>
    <t>N°0035203 du 06-05-2026</t>
  </si>
  <si>
    <t>REF-A N°018696 du 06-05-2026</t>
  </si>
  <si>
    <t>REF-B N°002063 du 06-05-2026</t>
  </si>
  <si>
    <t>N°0066087 du 06-05-2026</t>
  </si>
  <si>
    <t>REF-B N°008051 du 06-05-2026</t>
  </si>
  <si>
    <t>N°0024464 du 06-05-2026</t>
  </si>
  <si>
    <t>REF-A N°014755 du 06-05-2026</t>
  </si>
  <si>
    <t>REF-B N°007039 du 06-05-2026</t>
  </si>
  <si>
    <t>N°0059227 du 06-05-2026</t>
  </si>
  <si>
    <t>REF-B N°004899 du 06-05-2026</t>
  </si>
  <si>
    <t>N°0075174 du 07-05-2026</t>
  </si>
  <si>
    <t>REF-A N°006180 du 07-05-2026</t>
  </si>
  <si>
    <t>REF-B N°002889 du 07-05-2026</t>
  </si>
  <si>
    <t>N°0074728 du 07-05-2026</t>
  </si>
  <si>
    <t>REF-B N°002658 du 07-05-2026</t>
  </si>
  <si>
    <t>N°0078126 du 07-05-2026</t>
  </si>
  <si>
    <t>REF-B N°003771 du 07-05-2026</t>
  </si>
  <si>
    <t>N°0030380 du 07-05-2026</t>
  </si>
  <si>
    <t>REF-A N°003780 du 07-05-2026</t>
  </si>
  <si>
    <t>REF-B N°008025 du 07-05-2026</t>
  </si>
  <si>
    <t>N°0059844 du 12-05-2026</t>
  </si>
  <si>
    <t>REF-B N°000529 du 12-05-2026</t>
  </si>
  <si>
    <t>N°0067875 du 13-05-2026</t>
  </si>
  <si>
    <t>REF-A N°007593 du 13-05-2026</t>
  </si>
  <si>
    <t>REF-B N°000597 du 13-05-2026</t>
  </si>
  <si>
    <t>N°0010787 du 13-05-2026</t>
  </si>
  <si>
    <t>REF-B N°008481 du 13-05-2026</t>
  </si>
  <si>
    <t>N°0075990 du 13-05-2026</t>
  </si>
  <si>
    <t>REF-B N°006518 du 13-05-2026</t>
  </si>
  <si>
    <t>N°0030068 du 13-05-2026</t>
  </si>
  <si>
    <t>REF-A N°006037 du 13-05-2026</t>
  </si>
  <si>
    <t>REF-B N°007472 du 13-05-2026</t>
  </si>
  <si>
    <t>N°0093973 du 13-05-2026</t>
  </si>
  <si>
    <t>REF-B N°001275 du 13-05-2026</t>
  </si>
  <si>
    <t>N°0068972 du 14-05-2026</t>
  </si>
  <si>
    <t>REF-B N°004940 du 14-05-2026</t>
  </si>
  <si>
    <t>N°0098382 du 14-05-2026</t>
  </si>
  <si>
    <t>REF-B N°007394 du 14-05-2026</t>
  </si>
  <si>
    <t>N°0014266 du 15-05-2026</t>
  </si>
  <si>
    <t>REF-B N°008296 du 15-05-2026</t>
  </si>
  <si>
    <t>N°0088557 du 18-05-2026</t>
  </si>
  <si>
    <t>REF-B N°002951 du 18-05-2026</t>
  </si>
  <si>
    <t>N°0092521 du 18-05-2026</t>
  </si>
  <si>
    <t>REF-A N°012635 du 18-05-2026</t>
  </si>
  <si>
    <t>REF-B N°002096 du 18-05-2026</t>
  </si>
  <si>
    <t>N°0035723 du 18-05-2026</t>
  </si>
  <si>
    <t>REF-B N°005731 du 18-05-2026</t>
  </si>
  <si>
    <t>N°0099586 du 19-05-2026</t>
  </si>
  <si>
    <t>REF-A N°019106 du 19-05-2026</t>
  </si>
  <si>
    <t>REF-B N°008899 du 19-05-2026</t>
  </si>
  <si>
    <t>N°0030972 du 19-05-2026</t>
  </si>
  <si>
    <t>REF-B N°006851 du 19-05-2026</t>
  </si>
  <si>
    <t>N°0015704 du 21-05-2026</t>
  </si>
  <si>
    <t>REF-A N°019618 du 21-05-2026</t>
  </si>
  <si>
    <t>REF-B N°002930 du 21-05-2026</t>
  </si>
  <si>
    <t>N°0034720 du 21-05-2026</t>
  </si>
  <si>
    <t>REF-A N°018459 du 21-05-2026</t>
  </si>
  <si>
    <t>REF-B N°001037 du 21-05-2026</t>
  </si>
  <si>
    <t>N°0066707 du 21-05-2026</t>
  </si>
  <si>
    <t>REF-A N°017699 du 21-05-2026</t>
  </si>
  <si>
    <t>REF-B N°004754 du 21-05-2026</t>
  </si>
  <si>
    <t>N°0016653 du 21-05-2026</t>
  </si>
  <si>
    <t>REF-A N°016754 du 21-05-2026</t>
  </si>
  <si>
    <t>REF-B N°002746 du 21-05-2026</t>
  </si>
  <si>
    <t>N°0022891 du 22-05-2026</t>
  </si>
  <si>
    <t>REF-A N°006169 du 22-05-2026</t>
  </si>
  <si>
    <t>REF-B N°008716 du 22-05-2026</t>
  </si>
  <si>
    <t>N°0097654 du 25-05-2026</t>
  </si>
  <si>
    <t>REF-A N°014832 du 25-05-2026</t>
  </si>
  <si>
    <t>REF-B N°005983 du 25-05-2026</t>
  </si>
  <si>
    <t>N°0093015 du 25-05-2026</t>
  </si>
  <si>
    <t>REF-B N°001881 du 25-05-2026</t>
  </si>
  <si>
    <t>N°0096622 du 26-05-2026</t>
  </si>
  <si>
    <t>REF-A N°006402 du 26-05-2026</t>
  </si>
  <si>
    <t>REF-B N°007924 du 26-05-2026</t>
  </si>
  <si>
    <t>N°0038348 du 26-05-2026</t>
  </si>
  <si>
    <t>REF-B N°002916 du 26-05-2026</t>
  </si>
  <si>
    <t>N°0013110 du 27-05-2026</t>
  </si>
  <si>
    <t>REF-B N°003140 du 27-05-2026</t>
  </si>
  <si>
    <t>N°0092296 du 27-05-2026</t>
  </si>
  <si>
    <t>REF-A N°003306 du 27-05-2026</t>
  </si>
  <si>
    <t>REF-B N°002283 du 27-05-2026</t>
  </si>
  <si>
    <t>N°0083904 du 29-05-2026</t>
  </si>
  <si>
    <t>REF-A N°010951 du 29-05-2026</t>
  </si>
  <si>
    <t>REF-B N°008279 du 29-05-2026</t>
  </si>
  <si>
    <t>N°0009924 du 29-05-2026</t>
  </si>
  <si>
    <t>REF-B N°004452 du 29-05-2026</t>
  </si>
  <si>
    <t>N°0016785 du 29-05-2026</t>
  </si>
  <si>
    <t>REF-B N°007653 du 29-05-2026</t>
  </si>
  <si>
    <t>N°0000136 du 29-05-2026</t>
  </si>
  <si>
    <t>REF-A N°018503 du 29-05-2026</t>
  </si>
  <si>
    <t>REF-B N°000617 du 29-05-2026</t>
  </si>
  <si>
    <t>N°0050703 du 29-05-2026</t>
  </si>
  <si>
    <t>REF-A N°013666 du 29-05-2026</t>
  </si>
  <si>
    <t>REF-B N°000815 du 29-05-2026</t>
  </si>
  <si>
    <t>N°0089626 du 29-05-2026</t>
  </si>
  <si>
    <t>REF-A N°010604 du 29-05-2026</t>
  </si>
  <si>
    <t>REF-B N°005489 du 29-05-2026</t>
  </si>
  <si>
    <t>N°0021069 du 29-05-2026</t>
  </si>
  <si>
    <t>REF-A N°008334 du 29-05-2026</t>
  </si>
  <si>
    <t>REF-B N°002692 du 29-05-2026</t>
  </si>
  <si>
    <t>N°0006242 du 29-05-2026</t>
  </si>
  <si>
    <t>REF-B N°003888 du 29-05-2026</t>
  </si>
  <si>
    <t>N°0076520 du 01-06-2026</t>
  </si>
  <si>
    <t>REF-A N°003806 du 01-06-2026</t>
  </si>
  <si>
    <t>REF-B N°003102 du 01-06-2026</t>
  </si>
  <si>
    <t>N°0048866 du 01-06-2026</t>
  </si>
  <si>
    <t>REF-B N°003179 du 01-06-2026</t>
  </si>
  <si>
    <t>N°0017170 du 02-06-2026</t>
  </si>
  <si>
    <t>REF-A N°007427 du 02-06-2026</t>
  </si>
  <si>
    <t>REF-B N°002862 du 02-06-2026</t>
  </si>
  <si>
    <t>N°0004910 du 02-06-2026</t>
  </si>
  <si>
    <t>REF-A N°002541 du 02-06-2026</t>
  </si>
  <si>
    <t>REF-B N°009273 du 02-06-2026</t>
  </si>
  <si>
    <t>N°0064596 du 02-06-2026</t>
  </si>
  <si>
    <t>REF-A N°009033 du 02-06-2026</t>
  </si>
  <si>
    <t>REF-B N°007092 du 02-06-2026</t>
  </si>
  <si>
    <t>N°0070073 du 02-06-2026</t>
  </si>
  <si>
    <t>REF-B N°001042 du 02-06-2026</t>
  </si>
  <si>
    <t>N°0029458 du 03-06-2026</t>
  </si>
  <si>
    <t>REF-B N°006473 du 03-06-2026</t>
  </si>
  <si>
    <t>N°0056388 du 04-06-2026</t>
  </si>
  <si>
    <t>REF-A N°002764 du 04-06-2026</t>
  </si>
  <si>
    <t>REF-B N°005263 du 04-06-2026</t>
  </si>
  <si>
    <t>N°0083395 du 04-06-2026</t>
  </si>
  <si>
    <t>REF-A N°004062 du 04-06-2026</t>
  </si>
  <si>
    <t>REF-B N°006112 du 04-06-2026</t>
  </si>
  <si>
    <t>N°0058197 du 04-06-2026</t>
  </si>
  <si>
    <t>REF-A N°006950 du 04-06-2026</t>
  </si>
  <si>
    <t>REF-B N°000236 du 04-06-2026</t>
  </si>
  <si>
    <t>N°0083536 du 04-06-2026</t>
  </si>
  <si>
    <t>REF-B N°004838 du 04-06-2026</t>
  </si>
  <si>
    <t>N°0003853 du 05-06-2026</t>
  </si>
  <si>
    <t>REF-B N°005128 du 05-06-2026</t>
  </si>
  <si>
    <t>N°0091670 du 05-06-2026</t>
  </si>
  <si>
    <t>REF-B N°008148 du 05-06-2026</t>
  </si>
  <si>
    <t>N°0041629 du 08-06-2026</t>
  </si>
  <si>
    <t>REF-B N°002366 du 08-06-2026</t>
  </si>
  <si>
    <t>N°0028290 du 08-06-2026</t>
  </si>
  <si>
    <t>REF-A N°004936 du 08-06-2026</t>
  </si>
  <si>
    <t>REF-B N°006571 du 08-06-2026</t>
  </si>
  <si>
    <t>N°0021638 du 08-06-2026</t>
  </si>
  <si>
    <t>REF-B N°007512 du 08-06-2026</t>
  </si>
  <si>
    <t>N°0027760 du 08-06-2026</t>
  </si>
  <si>
    <t>REF-A N°010515 du 08-06-2026</t>
  </si>
  <si>
    <t>REF-B N°003716 du 08-06-2026</t>
  </si>
  <si>
    <t>N°0070572 du 09-06-2026</t>
  </si>
  <si>
    <t>REF-A N°005551 du 09-06-2026</t>
  </si>
  <si>
    <t>REF-B N°006613 du 09-06-2026</t>
  </si>
  <si>
    <t>N°0090474 du 09-06-2026</t>
  </si>
  <si>
    <t>REF-A N°006171 du 09-06-2026</t>
  </si>
  <si>
    <t>REF-B N°008902 du 09-06-2026</t>
  </si>
  <si>
    <t>N°0083884 du 09-06-2026</t>
  </si>
  <si>
    <t>REF-A N°013620 du 09-06-2026</t>
  </si>
  <si>
    <t>REF-B N°001596 du 09-06-2026</t>
  </si>
  <si>
    <t>N°0099202 du 09-06-2026</t>
  </si>
  <si>
    <t>REF-B N°008817 du 09-06-2026</t>
  </si>
  <si>
    <t>N°0047422 du 09-06-2026</t>
  </si>
  <si>
    <t>REF-B N°009861 du 09-06-2026</t>
  </si>
  <si>
    <t>N°0048037 du 09-06-2026</t>
  </si>
  <si>
    <t>REF-A N°001014 du 09-06-2026</t>
  </si>
  <si>
    <t>REF-B N°002813 du 09-06-2026</t>
  </si>
  <si>
    <t>N°0094329 du 10-06-2026</t>
  </si>
  <si>
    <t>REF-A N°002574 du 10-06-2026</t>
  </si>
  <si>
    <t>REF-B N°001107 du 10-06-2026</t>
  </si>
  <si>
    <t>N°0098842 du 10-06-2026</t>
  </si>
  <si>
    <t>REF-B N°002783 du 10-06-2026</t>
  </si>
  <si>
    <t>N°0038670 du 10-06-2026</t>
  </si>
  <si>
    <t>REF-B N°003794 du 10-06-2026</t>
  </si>
  <si>
    <t>N°0066168 du 10-06-2026</t>
  </si>
  <si>
    <t>REF-A N°016724 du 10-06-2026</t>
  </si>
  <si>
    <t>REF-B N°006180 du 10-06-2026</t>
  </si>
  <si>
    <t>N°0000289 du 11-06-2026</t>
  </si>
  <si>
    <t>REF-B N°005339 du 11-06-2026</t>
  </si>
  <si>
    <t>N°0019537 du 11-06-2026</t>
  </si>
  <si>
    <t>REF-B N°001195 du 11-06-2026</t>
  </si>
  <si>
    <t>N°0084654 du 11-06-2026</t>
  </si>
  <si>
    <t>REF-B N°003191 du 11-06-2026</t>
  </si>
  <si>
    <t>N°0022516 du 11-06-2026</t>
  </si>
  <si>
    <t>REF-A N°019800 du 11-06-2026</t>
  </si>
  <si>
    <t>REF-B N°008636 du 11-06-2026</t>
  </si>
  <si>
    <t>N°0031939 du 12-06-2026</t>
  </si>
  <si>
    <t>REF-A N°005442 du 12-06-2026</t>
  </si>
  <si>
    <t>REF-B N°005817 du 12-06-2026</t>
  </si>
  <si>
    <t>N°0070777 du 12-06-2026</t>
  </si>
  <si>
    <t>REF-A N°004404 du 12-06-2026</t>
  </si>
  <si>
    <t>REF-B N°008768 du 12-06-2026</t>
  </si>
  <si>
    <t>N°0017720 du 12-06-2026</t>
  </si>
  <si>
    <t>REF-A N°016543 du 12-06-2026</t>
  </si>
  <si>
    <t>REF-B N°008436 du 12-06-2026</t>
  </si>
  <si>
    <t>N°0000908 du 15-06-2026</t>
  </si>
  <si>
    <t>REF-A N°015090 du 15-06-2026</t>
  </si>
  <si>
    <t>REF-B N°003978 du 15-06-2026</t>
  </si>
  <si>
    <t>N°0083125 du 16-06-2026</t>
  </si>
  <si>
    <t>REF-A N°002122 du 16-06-2026</t>
  </si>
  <si>
    <t>REF-B N°003965 du 16-06-2026</t>
  </si>
  <si>
    <t>N°0083890 du 16-06-2026</t>
  </si>
  <si>
    <t>REF-B N°007344 du 16-06-2026</t>
  </si>
  <si>
    <t>N°0063671 du 16-06-2026</t>
  </si>
  <si>
    <t>REF-A N°003495 du 16-06-2026</t>
  </si>
  <si>
    <t>REF-B N°009429 du 16-06-2026</t>
  </si>
  <si>
    <t>N°0079974 du 16-06-2026</t>
  </si>
  <si>
    <t>REF-B N°003602 du 16-06-2026</t>
  </si>
  <si>
    <t>N°0005239 du 16-06-2026</t>
  </si>
  <si>
    <t>REF-A N°013221 du 16-06-2026</t>
  </si>
  <si>
    <t>REF-B N°001860 du 16-06-2026</t>
  </si>
  <si>
    <t>N°0028627 du 16-06-2026</t>
  </si>
  <si>
    <t>REF-A N°015711 du 16-06-2026</t>
  </si>
  <si>
    <t>REF-B N°001577 du 16-06-2026</t>
  </si>
  <si>
    <t>N°0012928 du 16-06-2026</t>
  </si>
  <si>
    <t>REF-B N°003677 du 16-06-2026</t>
  </si>
  <si>
    <t>N°0074015 du 17-06-2026</t>
  </si>
  <si>
    <t>REF-A N°010855 du 17-06-2026</t>
  </si>
  <si>
    <t>REF-B N°003856 du 17-06-2026</t>
  </si>
  <si>
    <t>N°0099865 du 17-06-2026</t>
  </si>
  <si>
    <t>REF-A N°013176 du 17-06-2026</t>
  </si>
  <si>
    <t>REF-B N°004753 du 17-06-2026</t>
  </si>
  <si>
    <t>N°0082900 du 17-06-2026</t>
  </si>
  <si>
    <t>REF-A N°019840 du 17-06-2026</t>
  </si>
  <si>
    <t>REF-B N°007864 du 17-06-2026</t>
  </si>
  <si>
    <t>N°0084631 du 17-06-2026</t>
  </si>
  <si>
    <t>REF-B N°006031 du 17-06-2026</t>
  </si>
  <si>
    <t>N°0008140 du 18-06-2026</t>
  </si>
  <si>
    <t>REF-A N°009692 du 18-06-2026</t>
  </si>
  <si>
    <t>REF-B N°000345 du 18-06-2026</t>
  </si>
  <si>
    <t>N°0077846 du 19-06-2026</t>
  </si>
  <si>
    <t>REF-B N°009558 du 19-06-2026</t>
  </si>
  <si>
    <t>N°0053945 du 22-06-2026</t>
  </si>
  <si>
    <t>REF-A N°003576 du 22-06-2026</t>
  </si>
  <si>
    <t>REF-B N°001982 du 22-06-2026</t>
  </si>
  <si>
    <t>N°0028451 du 22-06-2026</t>
  </si>
  <si>
    <t>REF-B N°005315 du 22-06-2026</t>
  </si>
  <si>
    <t>N°0091462 du 22-06-2026</t>
  </si>
  <si>
    <t>REF-A N°005781 du 22-06-2026</t>
  </si>
  <si>
    <t>REF-B N°004921 du 22-06-2026</t>
  </si>
  <si>
    <t>N°0053336 du 22-06-2026</t>
  </si>
  <si>
    <t>REF-A N°014353 du 22-06-2026</t>
  </si>
  <si>
    <t>REF-B N°000846 du 22-06-2026</t>
  </si>
  <si>
    <t>N°0088181 du 23-06-2026</t>
  </si>
  <si>
    <t>REF-A N°009524 du 23-06-2026</t>
  </si>
  <si>
    <t>REF-B N°004584 du 23-06-2026</t>
  </si>
  <si>
    <t>N°0086138 du 24-06-2026</t>
  </si>
  <si>
    <t>REF-A N°001766 du 24-06-2026</t>
  </si>
  <si>
    <t>REF-B N°007098 du 24-06-2026</t>
  </si>
  <si>
    <t>N°0049991 du 24-06-2026</t>
  </si>
  <si>
    <t>REF-B N°006984 du 24-06-2026</t>
  </si>
  <si>
    <t>N°0007131 du 24-06-2026</t>
  </si>
  <si>
    <t>REF-B N°004728 du 24-06-2026</t>
  </si>
  <si>
    <t>N°0040052 du 24-06-2026</t>
  </si>
  <si>
    <t>REF-A N°006326 du 24-06-2026</t>
  </si>
  <si>
    <t>REF-B N°002985 du 24-06-2026</t>
  </si>
  <si>
    <t>N°0024071 du 25-06-2026</t>
  </si>
  <si>
    <t>REF-A N°016136 du 25-06-2026</t>
  </si>
  <si>
    <t>REF-B N°000578 du 25-06-2026</t>
  </si>
  <si>
    <t>N°0099963 du 25-06-2026</t>
  </si>
  <si>
    <t>REF-B N°007546 du 25-06-2026</t>
  </si>
  <si>
    <t>N°0052513 du 25-06-2026</t>
  </si>
  <si>
    <t>REF-A N°003291 du 25-06-2026</t>
  </si>
  <si>
    <t>REF-B N°008528 du 25-06-2026</t>
  </si>
  <si>
    <t>N°0086162 du 25-06-2026</t>
  </si>
  <si>
    <t>REF-A N°010085 du 25-06-2026</t>
  </si>
  <si>
    <t>REF-B N°008016 du 25-06-2026</t>
  </si>
  <si>
    <t>N°0083035 du 25-06-2026</t>
  </si>
  <si>
    <t>REF-B N°004883 du 25-06-2026</t>
  </si>
  <si>
    <t>N°0096520 du 25-06-2026</t>
  </si>
  <si>
    <t>REF-A N°017731 du 25-06-2026</t>
  </si>
  <si>
    <t>REF-B N°001808 du 25-06-2026</t>
  </si>
  <si>
    <t>N°0076957 du 26-06-2026</t>
  </si>
  <si>
    <t>REF-B N°002345 du 26-06-2026</t>
  </si>
  <si>
    <t>N°0099568 du 26-06-2026</t>
  </si>
  <si>
    <t>REF-B N°001590 du 26-06-2026</t>
  </si>
  <si>
    <t>N°0069017 du 26-06-2026</t>
  </si>
  <si>
    <t>REF-B N°009910 du 26-06-2026</t>
  </si>
  <si>
    <t>N°0019597 du 26-06-2026</t>
  </si>
  <si>
    <t>REF-B N°004525 du 26-06-2026</t>
  </si>
  <si>
    <t>N°0086654 du 26-06-2026</t>
  </si>
  <si>
    <t>REF-B N°001200 du 26-06-2026</t>
  </si>
  <si>
    <t>N°0071930 du 26-06-2026</t>
  </si>
  <si>
    <t>REF-A N°009344 du 26-06-2026</t>
  </si>
  <si>
    <t>REF-B N°009573 du 26-06-2026</t>
  </si>
  <si>
    <t>N°0075314 du 29-06-2026</t>
  </si>
  <si>
    <t>REF-A N°016578 du 29-06-2026</t>
  </si>
  <si>
    <t>REF-B N°000436 du 29-06-2026</t>
  </si>
  <si>
    <t>N°0073717 du 29-06-2026</t>
  </si>
  <si>
    <t>REF-A N°006108 du 29-06-2026</t>
  </si>
  <si>
    <t>REF-B N°000655 du 29-06-2026</t>
  </si>
  <si>
    <t>N°0063631 du 29-06-2026</t>
  </si>
  <si>
    <t>REF-B N°003737 du 29-06-2026</t>
  </si>
  <si>
    <t>N°0019455 du 29-06-2026</t>
  </si>
  <si>
    <t>REF-B N°007315 du 29-06-2026</t>
  </si>
  <si>
    <t>N°0052063 du 29-06-2026</t>
  </si>
  <si>
    <t>REF-B N°007531 du 29-06-2026</t>
  </si>
  <si>
    <t>N°0088778 du 30-06-2026</t>
  </si>
  <si>
    <t>REF-A N°017217 du 30-06-2026</t>
  </si>
  <si>
    <t>REF-B N°008154 du 30-06-2026</t>
  </si>
  <si>
    <t>N°0088666 du 30-06-2026</t>
  </si>
  <si>
    <t>REF-B N°009600 du 30-06-2026</t>
  </si>
  <si>
    <t>N°0006145 du 30-06-2026</t>
  </si>
  <si>
    <t>REF-B N°002044 du 30-06-2026</t>
  </si>
  <si>
    <t>N°0016197 du 30-06-2026</t>
  </si>
  <si>
    <t>REF-B N°005944 du 30-06-2026</t>
  </si>
  <si>
    <t>N°0069677 du 01-07-2026</t>
  </si>
  <si>
    <t>REF-B N°002091 du 01-07-2026</t>
  </si>
  <si>
    <t>N°0087677 du 01-07-2026</t>
  </si>
  <si>
    <t>REF-A N°001127 du 01-07-2026</t>
  </si>
  <si>
    <t>REF-B N°006435 du 01-07-2026</t>
  </si>
  <si>
    <t>N°0082662 du 02-07-2026</t>
  </si>
  <si>
    <t>REF-A N°008910 du 02-07-2026</t>
  </si>
  <si>
    <t>REF-B N°003803 du 02-07-2026</t>
  </si>
  <si>
    <t>N°0018904 du 02-07-2026</t>
  </si>
  <si>
    <t>REF-B N°000399 du 02-07-2026</t>
  </si>
  <si>
    <t>N°0065373 du 02-07-2026</t>
  </si>
  <si>
    <t>REF-A N°008624 du 02-07-2026</t>
  </si>
  <si>
    <t>REF-B N°008164 du 02-07-2026</t>
  </si>
  <si>
    <t>N°0061900 du 06-07-2026</t>
  </si>
  <si>
    <t>REF-A N°001381 du 06-07-2026</t>
  </si>
  <si>
    <t>REF-B N°003075 du 06-07-2026</t>
  </si>
  <si>
    <t>N°0027832 du 07-07-2026</t>
  </si>
  <si>
    <t>REF-B N°008527 du 07-07-2026</t>
  </si>
  <si>
    <t>N°0000833 du 07-07-2026</t>
  </si>
  <si>
    <t>REF-B N°008655 du 07-07-2026</t>
  </si>
  <si>
    <t>N°0024992 du 07-07-2026</t>
  </si>
  <si>
    <t>REF-A N°012126 du 07-07-2026</t>
  </si>
  <si>
    <t>REF-B N°001322 du 07-07-2026</t>
  </si>
  <si>
    <t>N°0039648 du 07-07-2026</t>
  </si>
  <si>
    <t>REF-B N°008513 du 07-07-2026</t>
  </si>
  <si>
    <t>N°0094715 du 07-07-2026</t>
  </si>
  <si>
    <t>REF-A N°010083 du 07-07-2026</t>
  </si>
  <si>
    <t>REF-B N°004947 du 07-07-2026</t>
  </si>
  <si>
    <t>N°0019564 du 07-07-2026</t>
  </si>
  <si>
    <t>REF-A N°013401 du 07-07-2026</t>
  </si>
  <si>
    <t>REF-B N°009192 du 07-07-2026</t>
  </si>
  <si>
    <t>N°0069552 du 07-07-2026</t>
  </si>
  <si>
    <t>REF-B N°005492 du 07-07-2026</t>
  </si>
  <si>
    <t>N°0013670 du 08-07-2026</t>
  </si>
  <si>
    <t>REF-B N°002802 du 08-07-2026</t>
  </si>
  <si>
    <t>N°0027728 du 08-07-2026</t>
  </si>
  <si>
    <t>REF-B N°006679 du 08-07-2026</t>
  </si>
  <si>
    <t>N°0086976 du 08-07-2026</t>
  </si>
  <si>
    <t>REF-A N°010569 du 08-07-2026</t>
  </si>
  <si>
    <t>REF-B N°007806 du 08-07-2026</t>
  </si>
  <si>
    <t>N°0091440 du 08-07-2026</t>
  </si>
  <si>
    <t>REF-A N°016376 du 08-07-2026</t>
  </si>
  <si>
    <t>REF-B N°000638 du 08-07-2026</t>
  </si>
  <si>
    <t>N°0054732 du 08-07-2026</t>
  </si>
  <si>
    <t>REF-B N°000843 du 08-07-2026</t>
  </si>
  <si>
    <t>N°0011254 du 08-07-2026</t>
  </si>
  <si>
    <t>REF-B N°003483 du 08-07-2026</t>
  </si>
  <si>
    <t>N°0084977 du 08-07-2026</t>
  </si>
  <si>
    <t>REF-B N°006421 du 08-07-2026</t>
  </si>
  <si>
    <t>N°0094300 du 08-07-2026</t>
  </si>
  <si>
    <t>REF-B N°008552 du 08-07-2026</t>
  </si>
  <si>
    <t>N°0089155 du 09-07-2026</t>
  </si>
  <si>
    <t>REF-B N°006420 du 09-07-2026</t>
  </si>
  <si>
    <t>N°0084670 du 09-07-2026</t>
  </si>
  <si>
    <t>REF-A N°004532 du 09-07-2026</t>
  </si>
  <si>
    <t>REF-B N°001894 du 09-07-2026</t>
  </si>
  <si>
    <t>N°0020144 du 09-07-2026</t>
  </si>
  <si>
    <t>REF-B N°002757 du 09-07-2026</t>
  </si>
  <si>
    <t>N°0091661 du 09-07-2026</t>
  </si>
  <si>
    <t>REF-B N°000416 du 09-07-2026</t>
  </si>
  <si>
    <t>N°0048655 du 09-07-2026</t>
  </si>
  <si>
    <t>REF-A N°014168 du 09-07-2026</t>
  </si>
  <si>
    <t>REF-B N°000802 du 09-07-2026</t>
  </si>
  <si>
    <t>N°0069513 du 09-07-2026</t>
  </si>
  <si>
    <t>REF-A N°011563 du 09-07-2026</t>
  </si>
  <si>
    <t>REF-B N°006501 du 09-07-2026</t>
  </si>
  <si>
    <t>N°0036544 du 10-07-2026</t>
  </si>
  <si>
    <t>REF-A N°015092 du 10-07-2026</t>
  </si>
  <si>
    <t>REF-B N°001924 du 10-07-2026</t>
  </si>
  <si>
    <t>N°0064537 du 10-07-2026</t>
  </si>
  <si>
    <t>REF-B N°007712 du 10-07-2026</t>
  </si>
  <si>
    <t>N°0073759 du 10-07-2026</t>
  </si>
  <si>
    <t>REF-B N°005362 du 10-07-2026</t>
  </si>
  <si>
    <t>N°0005964 du 10-07-2026</t>
  </si>
  <si>
    <t>REF-A N°015912 du 10-07-2026</t>
  </si>
  <si>
    <t>REF-B N°005772 du 10-07-2026</t>
  </si>
  <si>
    <t>N°0054542 du 10-07-2026</t>
  </si>
  <si>
    <t>REF-A N°005731 du 10-07-2026</t>
  </si>
  <si>
    <t>REF-B N°005920 du 10-07-2026</t>
  </si>
  <si>
    <t>N°0057853 du 10-07-2026</t>
  </si>
  <si>
    <t>REF-B N°007390 du 10-07-2026</t>
  </si>
  <si>
    <t>N°0012839 du 13-07-2026</t>
  </si>
  <si>
    <t>REF-B N°007214 du 13-07-2026</t>
  </si>
  <si>
    <t>N°0051299 du 13-07-2026</t>
  </si>
  <si>
    <t>REF-A N°015434 du 13-07-2026</t>
  </si>
  <si>
    <t>REF-B N°007062 du 13-07-2026</t>
  </si>
  <si>
    <t>N°0053497 du 13-07-2026</t>
  </si>
  <si>
    <t>REF-A N°017647 du 13-07-2026</t>
  </si>
  <si>
    <t>REF-B N°004012 du 13-07-2026</t>
  </si>
  <si>
    <t>N°0048150 du 13-07-2026</t>
  </si>
  <si>
    <t>REF-A N°007250 du 13-07-2026</t>
  </si>
  <si>
    <t>REF-B N°009016 du 13-07-2026</t>
  </si>
  <si>
    <t>N°0099379 du 13-07-2026</t>
  </si>
  <si>
    <t>REF-B N°006567 du 13-07-2026</t>
  </si>
  <si>
    <t>N°0006156 du 13-07-2026</t>
  </si>
  <si>
    <t>REF-A N°015037 du 13-07-2026</t>
  </si>
  <si>
    <t>REF-B N°007522 du 13-07-2026</t>
  </si>
  <si>
    <t>N°0037914 du 13-07-2026</t>
  </si>
  <si>
    <t>REF-B N°007470 du 13-07-2026</t>
  </si>
  <si>
    <t>N°0001565 du 13-07-2026</t>
  </si>
  <si>
    <t>REF-A N°012830 du 13-07-2026</t>
  </si>
  <si>
    <t>REF-B N°008756 du 13-07-2026</t>
  </si>
  <si>
    <t>N°0047105 du 14-07-2026</t>
  </si>
  <si>
    <t>REF-A N°014347 du 14-07-2026</t>
  </si>
  <si>
    <t>REF-B N°007506 du 14-07-2026</t>
  </si>
  <si>
    <t>N°0037471 du 15-07-2026</t>
  </si>
  <si>
    <t>REF-A N°018515 du 15-07-2026</t>
  </si>
  <si>
    <t>REF-B N°002805 du 15-07-2026</t>
  </si>
  <si>
    <t>N°0078612 du 15-07-2026</t>
  </si>
  <si>
    <t>REF-B N°002969 du 15-07-2026</t>
  </si>
  <si>
    <t>N°0097316 du 15-07-2026</t>
  </si>
  <si>
    <t>REF-B N°007389 du 15-07-2026</t>
  </si>
  <si>
    <t>N°0032766 du 15-07-2026</t>
  </si>
  <si>
    <t>REF-B N°002170 du 15-07-2026</t>
  </si>
  <si>
    <t>N°0027893 du 16-07-2026</t>
  </si>
  <si>
    <t>REF-A N°012793 du 16-07-2026</t>
  </si>
  <si>
    <t>REF-B N°006523 du 16-07-2026</t>
  </si>
  <si>
    <t>N°0050740 du 16-07-2026</t>
  </si>
  <si>
    <t>REF-A N°007027 du 16-07-2026</t>
  </si>
  <si>
    <t>REF-B N°004164 du 16-07-2026</t>
  </si>
  <si>
    <t>N°0095814 du 16-07-2026</t>
  </si>
  <si>
    <t>REF-B N°007576 du 16-07-2026</t>
  </si>
  <si>
    <t>N°0091334 du 16-07-2026</t>
  </si>
  <si>
    <t>REF-B N°003504 du 16-07-2026</t>
  </si>
  <si>
    <t>N°0014062 du 16-07-2026</t>
  </si>
  <si>
    <t>REF-B N°000463 du 16-07-2026</t>
  </si>
  <si>
    <t>N°0025872 du 17-07-2026</t>
  </si>
  <si>
    <t>REF-A N°001433 du 17-07-2026</t>
  </si>
  <si>
    <t>REF-B N°007050 du 17-07-2026</t>
  </si>
  <si>
    <t>N°0057002 du 17-07-2026</t>
  </si>
  <si>
    <t>REF-A N°010046 du 17-07-2026</t>
  </si>
  <si>
    <t>REF-B N°008964 du 17-07-2026</t>
  </si>
  <si>
    <t>N°0036068 du 17-07-2026</t>
  </si>
  <si>
    <t>REF-B N°002051 du 17-07-2026</t>
  </si>
  <si>
    <t>N°0095224 du 17-07-2026</t>
  </si>
  <si>
    <t>REF-A N°002203 du 17-07-2026</t>
  </si>
  <si>
    <t>REF-B N°004016 du 17-07-2026</t>
  </si>
  <si>
    <t>N°0039378 du 17-07-2026</t>
  </si>
  <si>
    <t>REF-A N°012057 du 17-07-2026</t>
  </si>
  <si>
    <t>REF-B N°004275 du 17-07-2026</t>
  </si>
  <si>
    <t>N°0095845 du 20-07-2026</t>
  </si>
  <si>
    <t>REF-A N°002566 du 20-07-2026</t>
  </si>
  <si>
    <t>REF-B N°004615 du 20-07-2026</t>
  </si>
  <si>
    <t>N°0028168 du 20-07-2026</t>
  </si>
  <si>
    <t>REF-B N°005305 du 20-07-2026</t>
  </si>
  <si>
    <t>N°0035896 du 20-07-2026</t>
  </si>
  <si>
    <t>REF-A N°006914 du 20-07-2026</t>
  </si>
  <si>
    <t>REF-B N°004340 du 20-07-2026</t>
  </si>
  <si>
    <t>N°0018752 du 20-07-2026</t>
  </si>
  <si>
    <t>REF-B N°001407 du 20-07-2026</t>
  </si>
  <si>
    <t>N°0073325 du 21-07-2026</t>
  </si>
  <si>
    <t>REF-A N°016597 du 21-07-2026</t>
  </si>
  <si>
    <t>REF-B N°005120 du 21-07-2026</t>
  </si>
  <si>
    <t>N°0048609 du 21-07-2026</t>
  </si>
  <si>
    <t>REF-B N°001570 du 21-07-2026</t>
  </si>
  <si>
    <t>N°0003045 du 22-07-2026</t>
  </si>
  <si>
    <t>REF-B N°007047 du 22-07-2026</t>
  </si>
  <si>
    <t>N°0079936 du 22-07-2026</t>
  </si>
  <si>
    <t>REF-A N°002241 du 22-07-2026</t>
  </si>
  <si>
    <t>REF-B N°002937 du 22-07-2026</t>
  </si>
  <si>
    <t>N°0097025 du 22-07-2026</t>
  </si>
  <si>
    <t>REF-B N°000903 du 22-07-2026</t>
  </si>
  <si>
    <t>N°0074693 du 23-07-2026</t>
  </si>
  <si>
    <t>REF-A N°018382 du 23-07-2026</t>
  </si>
  <si>
    <t>REF-B N°006166 du 23-07-2026</t>
  </si>
  <si>
    <t>N°0020247 du 23-07-2026</t>
  </si>
  <si>
    <t>REF-A N°002511 du 23-07-2026</t>
  </si>
  <si>
    <t>REF-B N°007156 du 23-07-2026</t>
  </si>
  <si>
    <t>N°0085435 du 23-07-2026</t>
  </si>
  <si>
    <t>REF-A N°009462 du 23-07-2026</t>
  </si>
  <si>
    <t>REF-B N°007833 du 23-07-2026</t>
  </si>
  <si>
    <t>N°0007229 du 24-07-2026</t>
  </si>
  <si>
    <t>REF-A N°003372 du 24-07-2026</t>
  </si>
  <si>
    <t>REF-B N°001262 du 24-07-2026</t>
  </si>
  <si>
    <t>N°0086641 du 24-07-2026</t>
  </si>
  <si>
    <t>REF-B N°004117 du 24-07-2026</t>
  </si>
  <si>
    <t>N°0004732 du 27-07-2026</t>
  </si>
  <si>
    <t>REF-B N°001945 du 27-07-2026</t>
  </si>
  <si>
    <t>N°0012175 du 27-07-2026</t>
  </si>
  <si>
    <t>REF-A N°011406 du 27-07-2026</t>
  </si>
  <si>
    <t>REF-B N°009221 du 27-07-2026</t>
  </si>
  <si>
    <t>N°0062477 du 27-07-2026</t>
  </si>
  <si>
    <t>REF-A N°006236 du 27-07-2026</t>
  </si>
  <si>
    <t>REF-B N°008229 du 27-07-2026</t>
  </si>
  <si>
    <t>N°0028725 du 27-07-2026</t>
  </si>
  <si>
    <t>REF-A N°017701 du 27-07-2026</t>
  </si>
  <si>
    <t>REF-B N°005775 du 27-07-2026</t>
  </si>
  <si>
    <t>N°0094791 du 27-07-2026</t>
  </si>
  <si>
    <t>REF-A N°019660 du 27-07-2026</t>
  </si>
  <si>
    <t>REF-B N°009192 du 27-07-2026</t>
  </si>
  <si>
    <t>N°0015182 du 28-07-2026</t>
  </si>
  <si>
    <t>REF-B N°008987 du 28-07-2026</t>
  </si>
  <si>
    <t>N°0030853 du 28-07-2026</t>
  </si>
  <si>
    <t>REF-B N°005644 du 28-07-2026</t>
  </si>
  <si>
    <t>N°0065302 du 28-07-2026</t>
  </si>
  <si>
    <t>REF-A N°007002 du 28-07-2026</t>
  </si>
  <si>
    <t>REF-B N°003874 du 28-07-2026</t>
  </si>
  <si>
    <t>N°0087466 du 28-07-2026</t>
  </si>
  <si>
    <t>REF-A N°005375 du 28-07-2026</t>
  </si>
  <si>
    <t>REF-B N°009901 du 28-07-2026</t>
  </si>
  <si>
    <t>N°0011705 du 29-07-2026</t>
  </si>
  <si>
    <t>REF-A N°016269 du 29-07-2026</t>
  </si>
  <si>
    <t>REF-B N°008106 du 29-07-2026</t>
  </si>
  <si>
    <t>N°0037379 du 30-07-2026</t>
  </si>
  <si>
    <t>REF-A N°016829 du 30-07-2026</t>
  </si>
  <si>
    <t>REF-B N°006740 du 30-07-2026</t>
  </si>
  <si>
    <t>N°0090196 du 30-07-2026</t>
  </si>
  <si>
    <t>REF-A N°015000 du 30-07-2026</t>
  </si>
  <si>
    <t>REF-B N°001844 du 30-07-2026</t>
  </si>
  <si>
    <t>N°0068701 du 31-07-2026</t>
  </si>
  <si>
    <t>REF-B N°009990 du 31-07-2026</t>
  </si>
  <si>
    <t>N°0079719 du 31-07-2026</t>
  </si>
  <si>
    <t>REF-B N°004817 du 31-07-2026</t>
  </si>
  <si>
    <t>N°0043263 du 31-07-2026</t>
  </si>
  <si>
    <t>REF-B N°007714 du 31-07-2026</t>
  </si>
  <si>
    <t>N°0050369 du 31-07-2026</t>
  </si>
  <si>
    <t>REF-A N°017856 du 31-07-2026</t>
  </si>
  <si>
    <t>REF-B N°005205 du 31-07-2026</t>
  </si>
  <si>
    <t>N°0012470 du 03-08-2026</t>
  </si>
  <si>
    <t>REF-B N°000309 du 03-08-2026</t>
  </si>
  <si>
    <t>N°0021893 du 03-08-2026</t>
  </si>
  <si>
    <t>REF-A N°018711 du 03-08-2026</t>
  </si>
  <si>
    <t>REF-B N°003395 du 03-08-2026</t>
  </si>
  <si>
    <t>N°0039737 du 03-08-2026</t>
  </si>
  <si>
    <t>REF-A N°006130 du 03-08-2026</t>
  </si>
  <si>
    <t>REF-B N°007730 du 03-08-2026</t>
  </si>
  <si>
    <t>N°0046407 du 03-08-2026</t>
  </si>
  <si>
    <t>REF-A N°002105 du 03-08-2026</t>
  </si>
  <si>
    <t>REF-B N°003993 du 03-08-2026</t>
  </si>
  <si>
    <t>N°0076627 du 04-08-2026</t>
  </si>
  <si>
    <t>REF-B N°001834 du 04-08-2026</t>
  </si>
  <si>
    <t>N°0062868 du 04-08-2026</t>
  </si>
  <si>
    <t>REF-A N°009352 du 04-08-2026</t>
  </si>
  <si>
    <t>REF-B N°006486 du 04-08-2026</t>
  </si>
  <si>
    <t>N°0040567 du 04-08-2026</t>
  </si>
  <si>
    <t>REF-A N°006609 du 04-08-2026</t>
  </si>
  <si>
    <t>REF-B N°003469 du 04-08-2026</t>
  </si>
  <si>
    <t>N°0064482 du 04-08-2026</t>
  </si>
  <si>
    <t>REF-B N°008952 du 04-08-2026</t>
  </si>
  <si>
    <t>N°0004465 du 04-08-2026</t>
  </si>
  <si>
    <t>REF-B N°005104 du 04-08-2026</t>
  </si>
  <si>
    <t>N°0007580 du 05-08-2026</t>
  </si>
  <si>
    <t>REF-A N°002695 du 05-08-2026</t>
  </si>
  <si>
    <t>REF-B N°001567 du 05-08-2026</t>
  </si>
  <si>
    <t>N°0036845 du 05-08-2026</t>
  </si>
  <si>
    <t>REF-A N°016511 du 05-08-2026</t>
  </si>
  <si>
    <t>REF-B N°007647 du 05-08-2026</t>
  </si>
  <si>
    <t>N°0089453 du 05-08-2026</t>
  </si>
  <si>
    <t>REF-B N°009502 du 05-08-2026</t>
  </si>
  <si>
    <t>N°0098378 du 06-08-2026</t>
  </si>
  <si>
    <t>REF-B N°004146 du 06-08-2026</t>
  </si>
  <si>
    <t>N°0042832 du 06-08-2026</t>
  </si>
  <si>
    <t>REF-A N°016187 du 06-08-2026</t>
  </si>
  <si>
    <t>REF-B N°009897 du 06-08-2026</t>
  </si>
  <si>
    <t>N°0025420 du 07-08-2026</t>
  </si>
  <si>
    <t>REF-B N°001781 du 07-08-2026</t>
  </si>
  <si>
    <t>N°0044214 du 07-08-2026</t>
  </si>
  <si>
    <t>REF-A N°004710 du 07-08-2026</t>
  </si>
  <si>
    <t>REF-B N°002663 du 07-08-2026</t>
  </si>
  <si>
    <t>N°0081456 du 10-08-2026</t>
  </si>
  <si>
    <t>REF-A N°019166 du 10-08-2026</t>
  </si>
  <si>
    <t>REF-B N°007417 du 10-08-2026</t>
  </si>
  <si>
    <t>N°0039234 du 10-08-2026</t>
  </si>
  <si>
    <t>REF-B N°007334 du 10-08-2026</t>
  </si>
  <si>
    <t>N°0056120 du 11-08-2026</t>
  </si>
  <si>
    <t>REF-B N°000680 du 11-08-2026</t>
  </si>
  <si>
    <t>N°0046473 du 11-08-2026</t>
  </si>
  <si>
    <t>REF-B N°004918 du 11-08-2026</t>
  </si>
  <si>
    <t>N°0073549 du 11-08-2026</t>
  </si>
  <si>
    <t>REF-B N°001383 du 11-08-2026</t>
  </si>
  <si>
    <t>N°0088637 du 11-08-2026</t>
  </si>
  <si>
    <t>REF-B N°003390 du 11-08-2026</t>
  </si>
  <si>
    <t>N°0012105 du 11-08-2026</t>
  </si>
  <si>
    <t>REF-A N°006774 du 11-08-2026</t>
  </si>
  <si>
    <t>REF-B N°009899 du 11-08-2026</t>
  </si>
  <si>
    <t>N°0026840 du 11-08-2026</t>
  </si>
  <si>
    <t>REF-B N°004409 du 11-08-2026</t>
  </si>
  <si>
    <t>N°0055914 du 12-08-2026</t>
  </si>
  <si>
    <t>REF-A N°006873 du 12-08-2026</t>
  </si>
  <si>
    <t>REF-B N°005990 du 12-08-2026</t>
  </si>
  <si>
    <t>N°0069828 du 12-08-2026</t>
  </si>
  <si>
    <t>REF-A N°003744 du 12-08-2026</t>
  </si>
  <si>
    <t>REF-B N°009938 du 12-08-2026</t>
  </si>
  <si>
    <t>N°0052450 du 12-08-2026</t>
  </si>
  <si>
    <t>REF-A N°016217 du 12-08-2026</t>
  </si>
  <si>
    <t>REF-B N°001524 du 12-08-2026</t>
  </si>
  <si>
    <t>N°0001793 du 13-08-2026</t>
  </si>
  <si>
    <t>REF-A N°009152 du 13-08-2026</t>
  </si>
  <si>
    <t>REF-B N°003913 du 13-08-2026</t>
  </si>
  <si>
    <t>N°0005240 du 13-08-2026</t>
  </si>
  <si>
    <t>REF-A N°001174 du 13-08-2026</t>
  </si>
  <si>
    <t>REF-B N°008482 du 13-08-2026</t>
  </si>
  <si>
    <t>N°0091996 du 13-08-2026</t>
  </si>
  <si>
    <t>REF-B N°004171 du 13-08-2026</t>
  </si>
  <si>
    <t>N°0070074 du 13-08-2026</t>
  </si>
  <si>
    <t>REF-B N°004592 du 13-08-2026</t>
  </si>
  <si>
    <t>N°0067117 du 13-08-2026</t>
  </si>
  <si>
    <t>REF-A N°003818 du 13-08-2026</t>
  </si>
  <si>
    <t>REF-B N°002792 du 13-08-2026</t>
  </si>
  <si>
    <t>N°0084183 du 14-08-2026</t>
  </si>
  <si>
    <t>REF-A N°007805 du 14-08-2026</t>
  </si>
  <si>
    <t>REF-B N°005917 du 14-08-2026</t>
  </si>
  <si>
    <t>N°0077039 du 14-08-2026</t>
  </si>
  <si>
    <t>REF-A N°013171 du 14-08-2026</t>
  </si>
  <si>
    <t>REF-B N°004349 du 14-08-2026</t>
  </si>
  <si>
    <t>N°0068511 du 14-08-2026</t>
  </si>
  <si>
    <t>REF-A N°004490 du 14-08-2026</t>
  </si>
  <si>
    <t>REF-B N°007118 du 14-08-2026</t>
  </si>
  <si>
    <t>N°0081028 du 14-08-2026</t>
  </si>
  <si>
    <t>REF-B N°000224 du 14-08-2026</t>
  </si>
  <si>
    <t>N°0037463 du 14-08-2026</t>
  </si>
  <si>
    <t>REF-A N°017080 du 14-08-2026</t>
  </si>
  <si>
    <t>REF-B N°004998 du 14-08-2026</t>
  </si>
  <si>
    <t>N°0079982 du 14-08-2026</t>
  </si>
  <si>
    <t>REF-B N°009697 du 14-08-2026</t>
  </si>
  <si>
    <t>N°0026866 du 14-08-2026</t>
  </si>
  <si>
    <t>REF-B N°008253 du 14-08-2026</t>
  </si>
  <si>
    <t>N°0007983 du 17-08-2026</t>
  </si>
  <si>
    <t>REF-A N°005841 du 17-08-2026</t>
  </si>
  <si>
    <t>REF-B N°007952 du 17-08-2026</t>
  </si>
  <si>
    <t>N°0072112 du 17-08-2026</t>
  </si>
  <si>
    <t>REF-B N°001740 du 17-08-2026</t>
  </si>
  <si>
    <t>N°0063372 du 17-08-2026</t>
  </si>
  <si>
    <t>REF-A N°016723 du 17-08-2026</t>
  </si>
  <si>
    <t>REF-B N°002417 du 17-08-2026</t>
  </si>
  <si>
    <t>N°0018025 du 17-08-2026</t>
  </si>
  <si>
    <t>REF-B N°004351 du 17-08-2026</t>
  </si>
  <si>
    <t>N°0053650 du 18-08-2026</t>
  </si>
  <si>
    <t>REF-A N°016318 du 18-08-2026</t>
  </si>
  <si>
    <t>REF-B N°009736 du 18-08-2026</t>
  </si>
  <si>
    <t>N°0094460 du 18-08-2026</t>
  </si>
  <si>
    <t>REF-A N°017114 du 18-08-2026</t>
  </si>
  <si>
    <t>REF-B N°001141 du 18-08-2026</t>
  </si>
  <si>
    <t>N°0078512 du 18-08-2026</t>
  </si>
  <si>
    <t>REF-B N°005275 du 18-08-2026</t>
  </si>
  <si>
    <t>N°0026083 du 18-08-2026</t>
  </si>
  <si>
    <t>REF-A N°003751 du 18-08-2026</t>
  </si>
  <si>
    <t>REF-B N°006826 du 18-08-2026</t>
  </si>
  <si>
    <t>N°0019492 du 18-08-2026</t>
  </si>
  <si>
    <t>REF-A N°011582 du 18-08-2026</t>
  </si>
  <si>
    <t>REF-B N°005806 du 18-08-2026</t>
  </si>
  <si>
    <t>N°0067594 du 19-08-2026</t>
  </si>
  <si>
    <t>REF-A N°006743 du 19-08-2026</t>
  </si>
  <si>
    <t>REF-B N°006432 du 19-08-2026</t>
  </si>
  <si>
    <t>N°0020645 du 19-08-2026</t>
  </si>
  <si>
    <t>REF-A N°017373 du 19-08-2026</t>
  </si>
  <si>
    <t>REF-B N°007729 du 19-08-2026</t>
  </si>
  <si>
    <t>N°0086014 du 19-08-2026</t>
  </si>
  <si>
    <t>REF-A N°017112 du 19-08-2026</t>
  </si>
  <si>
    <t>REF-B N°003287 du 19-08-2026</t>
  </si>
  <si>
    <t>N°0072404 du 19-08-2026</t>
  </si>
  <si>
    <t>REF-A N°001867 du 19-08-2026</t>
  </si>
  <si>
    <t>REF-B N°005773 du 19-08-2026</t>
  </si>
  <si>
    <t>N°0041830 du 19-08-2026</t>
  </si>
  <si>
    <t>REF-B N°000690 du 19-08-2026</t>
  </si>
  <si>
    <t>N°0022855 du 20-08-2026</t>
  </si>
  <si>
    <t>REF-A N°005726 du 20-08-2026</t>
  </si>
  <si>
    <t>REF-B N°006638 du 20-08-2026</t>
  </si>
  <si>
    <t>N°0090010 du 20-08-2026</t>
  </si>
  <si>
    <t>REF-B N°005761 du 20-08-2026</t>
  </si>
  <si>
    <t>N°0026532 du 20-08-2026</t>
  </si>
  <si>
    <t>REF-B N°001133 du 20-08-2026</t>
  </si>
  <si>
    <t>N°0008474 du 20-08-2026</t>
  </si>
  <si>
    <t>REF-B N°000740 du 20-08-2026</t>
  </si>
  <si>
    <t>N°0031608 du 20-08-2026</t>
  </si>
  <si>
    <t>REF-B N°007935 du 20-08-2026</t>
  </si>
  <si>
    <t>N°0070373 du 21-08-2026</t>
  </si>
  <si>
    <t>REF-A N°016254 du 21-08-2026</t>
  </si>
  <si>
    <t>REF-B N°005066 du 21-08-2026</t>
  </si>
  <si>
    <t>N°0006287 du 21-08-2026</t>
  </si>
  <si>
    <t>REF-A N°002176 du 21-08-2026</t>
  </si>
  <si>
    <t>REF-B N°009380 du 21-08-2026</t>
  </si>
  <si>
    <t>N°0088393 du 24-08-2026</t>
  </si>
  <si>
    <t>REF-B N°004236 du 24-08-2026</t>
  </si>
  <si>
    <t>N°0063618 du 24-08-2026</t>
  </si>
  <si>
    <t>REF-B N°008226 du 24-08-2026</t>
  </si>
  <si>
    <t>N°0045378 du 24-08-2026</t>
  </si>
  <si>
    <t>REF-A N°007704 du 24-08-2026</t>
  </si>
  <si>
    <t>REF-B N°008408 du 24-08-2026</t>
  </si>
  <si>
    <t>N°0085369 du 24-08-2026</t>
  </si>
  <si>
    <t>REF-B N°009241 du 24-08-2026</t>
  </si>
  <si>
    <t>N°0065406 du 24-08-2026</t>
  </si>
  <si>
    <t>REF-B N°005613 du 24-08-2026</t>
  </si>
  <si>
    <t>N°0047514 du 24-08-2026</t>
  </si>
  <si>
    <t>REF-B N°003207 du 24-08-2026</t>
  </si>
  <si>
    <t>N°0020827 du 25-08-2026</t>
  </si>
  <si>
    <t>REF-A N°013692 du 25-08-2026</t>
  </si>
  <si>
    <t>REF-B N°009140 du 25-08-2026</t>
  </si>
  <si>
    <t>N°0096340 du 25-08-2026</t>
  </si>
  <si>
    <t>REF-A N°012369 du 25-08-2026</t>
  </si>
  <si>
    <t>REF-B N°005596 du 25-08-2026</t>
  </si>
  <si>
    <t>N°0040445 du 25-08-2026</t>
  </si>
  <si>
    <t>REF-B N°002785 du 25-08-2026</t>
  </si>
  <si>
    <t>N°0090140 du 25-08-2026</t>
  </si>
  <si>
    <t>REF-B N°006331 du 25-08-2026</t>
  </si>
  <si>
    <t>N°0071099 du 26-08-2026</t>
  </si>
  <si>
    <t>REF-A N°012943 du 26-08-2026</t>
  </si>
  <si>
    <t>REF-B N°001825 du 26-08-2026</t>
  </si>
  <si>
    <t>N°0010229 du 26-08-2026</t>
  </si>
  <si>
    <t>REF-A N°008547 du 26-08-2026</t>
  </si>
  <si>
    <t>REF-B N°005561 du 26-08-2026</t>
  </si>
  <si>
    <t>N°0007235 du 26-08-2026</t>
  </si>
  <si>
    <t>REF-A N°008404 du 26-08-2026</t>
  </si>
  <si>
    <t>REF-B N°001921 du 26-08-2026</t>
  </si>
  <si>
    <t>N°0001280 du 27-08-2026</t>
  </si>
  <si>
    <t>REF-B N°001060 du 27-08-2026</t>
  </si>
  <si>
    <t>N°0022480 du 27-08-2026</t>
  </si>
  <si>
    <t>REF-B N°000483 du 27-08-2026</t>
  </si>
  <si>
    <t>N°0024813 du 27-08-2026</t>
  </si>
  <si>
    <t>REF-A N°007998 du 27-08-2026</t>
  </si>
  <si>
    <t>REF-B N°001431 du 27-08-2026</t>
  </si>
  <si>
    <t>N°0032144 du 27-08-2026</t>
  </si>
  <si>
    <t>REF-B N°000343 du 27-08-2026</t>
  </si>
  <si>
    <t>N°0003393 du 27-08-2026</t>
  </si>
  <si>
    <t>REF-A N°004396 du 27-08-2026</t>
  </si>
  <si>
    <t>REF-B N°002706 du 27-08-2026</t>
  </si>
  <si>
    <t>N°0094367 du 27-08-2026</t>
  </si>
  <si>
    <t>REF-A N°007315 du 27-08-2026</t>
  </si>
  <si>
    <t>REF-B N°002515 du 27-08-2026</t>
  </si>
  <si>
    <t>N°0030638 du 27-08-2026</t>
  </si>
  <si>
    <t>REF-B N°005605 du 27-08-2026</t>
  </si>
  <si>
    <t>N°0075595 du 28-08-2026</t>
  </si>
  <si>
    <t>REF-A N°009474 du 28-08-2026</t>
  </si>
  <si>
    <t>REF-B N°007911 du 28-08-2026</t>
  </si>
  <si>
    <t>N°0081252 du 31-08-2026</t>
  </si>
  <si>
    <t>REF-A N°014665 du 31-08-2026</t>
  </si>
  <si>
    <t>REF-B N°007380 du 31-08-2026</t>
  </si>
  <si>
    <t>N°0060062 du 01-09-2026</t>
  </si>
  <si>
    <t>REF-A N°009995 du 01-09-2026</t>
  </si>
  <si>
    <t>REF-B N°003285 du 01-09-2026</t>
  </si>
  <si>
    <t>N°0020877 du 01-09-2026</t>
  </si>
  <si>
    <t>REF-A N°007408 du 01-09-2026</t>
  </si>
  <si>
    <t>REF-B N°002610 du 01-09-2026</t>
  </si>
  <si>
    <t>N°0035341 du 01-09-2026</t>
  </si>
  <si>
    <t>REF-B N°001411 du 01-09-2026</t>
  </si>
  <si>
    <t>N°0035134 du 01-09-2026</t>
  </si>
  <si>
    <t>REF-A N°016147 du 01-09-2026</t>
  </si>
  <si>
    <t>REF-B N°004899 du 01-09-2026</t>
  </si>
  <si>
    <t>N°0014062 du 01-09-2026</t>
  </si>
  <si>
    <t>REF-B N°001605 du 01-09-2026</t>
  </si>
  <si>
    <t>N°0029581 du 01-09-2026</t>
  </si>
  <si>
    <t>REF-B N°003114 du 01-09-2026</t>
  </si>
  <si>
    <t>N°0057208 du 02-09-2026</t>
  </si>
  <si>
    <t>REF-B N°002708 du 02-09-2026</t>
  </si>
  <si>
    <t>N°0096672 du 02-09-2026</t>
  </si>
  <si>
    <t>REF-A N°004852 du 02-09-2026</t>
  </si>
  <si>
    <t>REF-B N°001545 du 02-09-2026</t>
  </si>
  <si>
    <t>N°0069485 du 02-09-2026</t>
  </si>
  <si>
    <t>REF-B N°004538 du 02-09-2026</t>
  </si>
  <si>
    <t>N°0020964 du 02-09-2026</t>
  </si>
  <si>
    <t>REF-A N°001213 du 02-09-2026</t>
  </si>
  <si>
    <t>REF-B N°002191 du 02-09-2026</t>
  </si>
  <si>
    <t>N°0047454 du 03-09-2026</t>
  </si>
  <si>
    <t>REF-B N°007413 du 03-09-2026</t>
  </si>
  <si>
    <t>N°0067202 du 03-09-2026</t>
  </si>
  <si>
    <t>REF-B N°002143 du 03-09-2026</t>
  </si>
  <si>
    <t>N°0029886 du 04-09-2026</t>
  </si>
  <si>
    <t>REF-B N°007499 du 04-09-2026</t>
  </si>
  <si>
    <t>N°0053713 du 04-09-2026</t>
  </si>
  <si>
    <t>REF-B N°002750 du 04-09-2026</t>
  </si>
  <si>
    <t>N°0018247 du 07-09-2026</t>
  </si>
  <si>
    <t>REF-A N°018665 du 07-09-2026</t>
  </si>
  <si>
    <t>REF-B N°000779 du 07-09-2026</t>
  </si>
  <si>
    <t>N°0011784 du 07-09-2026</t>
  </si>
  <si>
    <t>REF-A N°004915 du 07-09-2026</t>
  </si>
  <si>
    <t>REF-B N°008894 du 07-09-2026</t>
  </si>
  <si>
    <t>N°0023802 du 08-09-2026</t>
  </si>
  <si>
    <t>REF-B N°009074 du 08-09-2026</t>
  </si>
  <si>
    <t>N°0001039 du 08-09-2026</t>
  </si>
  <si>
    <t>REF-B N°002966 du 08-09-2026</t>
  </si>
  <si>
    <t>N°0055170 du 08-09-2026</t>
  </si>
  <si>
    <t>REF-A N°011645 du 08-09-2026</t>
  </si>
  <si>
    <t>REF-B N°008785 du 08-09-2026</t>
  </si>
  <si>
    <t>N°0016496 du 08-09-2026</t>
  </si>
  <si>
    <t>REF-A N°019295 du 08-09-2026</t>
  </si>
  <si>
    <t>REF-B N°003912 du 08-09-2026</t>
  </si>
  <si>
    <t>N°0046282 du 08-09-2026</t>
  </si>
  <si>
    <t>REF-B N°007755 du 08-09-2026</t>
  </si>
  <si>
    <t>N°0012886 du 08-09-2026</t>
  </si>
  <si>
    <t>REF-B N°003617 du 08-09-2026</t>
  </si>
  <si>
    <t>N°0020503 du 09-09-2026</t>
  </si>
  <si>
    <t>REF-A N°008716 du 09-09-2026</t>
  </si>
  <si>
    <t>REF-B N°006550 du 09-09-2026</t>
  </si>
  <si>
    <t>N°0091253 du 09-09-2026</t>
  </si>
  <si>
    <t>REF-B N°009895 du 09-09-2026</t>
  </si>
  <si>
    <t>N°0052273 du 09-09-2026</t>
  </si>
  <si>
    <t>REF-B N°003529 du 09-09-2026</t>
  </si>
  <si>
    <t>N°0080751 du 09-09-2026</t>
  </si>
  <si>
    <t>REF-A N°005309 du 09-09-2026</t>
  </si>
  <si>
    <t>REF-B N°008943 du 09-09-2026</t>
  </si>
  <si>
    <t>N°0033664 du 10-09-2026</t>
  </si>
  <si>
    <t>REF-B N°005652 du 10-09-2026</t>
  </si>
  <si>
    <t>N°0007575 du 10-09-2026</t>
  </si>
  <si>
    <t>REF-B N°004547 du 10-09-2026</t>
  </si>
  <si>
    <t>N°0041322 du 11-09-2026</t>
  </si>
  <si>
    <t>REF-B N°004385 du 11-09-2026</t>
  </si>
  <si>
    <t>N°0008010 du 11-09-2026</t>
  </si>
  <si>
    <t>REF-B N°009485 du 11-09-2026</t>
  </si>
  <si>
    <t>N°0067265 du 14-09-2026</t>
  </si>
  <si>
    <t>REF-B N°009175 du 14-09-2026</t>
  </si>
  <si>
    <t>N°0038871 du 14-09-2026</t>
  </si>
  <si>
    <t>REF-A N°007013 du 14-09-2026</t>
  </si>
  <si>
    <t>REF-B N°004646 du 14-09-2026</t>
  </si>
  <si>
    <t>N°0073202 du 15-09-2026</t>
  </si>
  <si>
    <t>REF-A N°001595 du 15-09-2026</t>
  </si>
  <si>
    <t>REF-B N°001855 du 15-09-2026</t>
  </si>
  <si>
    <t>N°0053800 du 15-09-2026</t>
  </si>
  <si>
    <t>REF-B N°008858 du 15-09-2026</t>
  </si>
  <si>
    <t>N°0024643 du 15-09-2026</t>
  </si>
  <si>
    <t>REF-A N°002315 du 15-09-2026</t>
  </si>
  <si>
    <t>REF-B N°009655 du 15-09-2026</t>
  </si>
  <si>
    <t>N°0032979 du 15-09-2026</t>
  </si>
  <si>
    <t>REF-A N°004022 du 15-09-2026</t>
  </si>
  <si>
    <t>REF-B N°001880 du 15-09-2026</t>
  </si>
  <si>
    <t>N°0073488 du 16-09-2026</t>
  </si>
  <si>
    <t>REF-A N°001739 du 16-09-2026</t>
  </si>
  <si>
    <t>REF-B N°008281 du 16-09-2026</t>
  </si>
  <si>
    <t>N°0038410 du 16-09-2026</t>
  </si>
  <si>
    <t>REF-A N°004474 du 16-09-2026</t>
  </si>
  <si>
    <t>REF-B N°009304 du 16-09-2026</t>
  </si>
  <si>
    <t>N°0065691 du 16-09-2026</t>
  </si>
  <si>
    <t>REF-A N°007510 du 16-09-2026</t>
  </si>
  <si>
    <t>REF-B N°000457 du 16-09-2026</t>
  </si>
  <si>
    <t>N°0098839 du 17-09-2026</t>
  </si>
  <si>
    <t>REF-B N°003694 du 17-09-2026</t>
  </si>
  <si>
    <t>N°0063877 du 18-09-2026</t>
  </si>
  <si>
    <t>REF-B N°005902 du 18-09-2026</t>
  </si>
  <si>
    <t>N°0041852 du 18-09-2026</t>
  </si>
  <si>
    <t>REF-A N°015084 du 18-09-2026</t>
  </si>
  <si>
    <t>REF-B N°000992 du 18-09-2026</t>
  </si>
  <si>
    <t>N°0027562 du 21-09-2026</t>
  </si>
  <si>
    <t>REF-B N°001972 du 21-09-2026</t>
  </si>
  <si>
    <t>N°0046631 du 21-09-2026</t>
  </si>
  <si>
    <t>REF-A N°019703 du 21-09-2026</t>
  </si>
  <si>
    <t>REF-B N°000984 du 21-09-2026</t>
  </si>
  <si>
    <t>N°0039684 du 21-09-2026</t>
  </si>
  <si>
    <t>REF-B N°001370 du 21-09-2026</t>
  </si>
  <si>
    <t>N°0047223 du 22-09-2026</t>
  </si>
  <si>
    <t>REF-A N°010123 du 22-09-2026</t>
  </si>
  <si>
    <t>REF-B N°002610 du 22-09-2026</t>
  </si>
  <si>
    <t>N°0022786 du 22-09-2026</t>
  </si>
  <si>
    <t>REF-A N°003761 du 22-09-2026</t>
  </si>
  <si>
    <t>REF-B N°003861 du 22-09-2026</t>
  </si>
  <si>
    <t>N°0095015 du 22-09-2026</t>
  </si>
  <si>
    <t>REF-B N°000134 du 22-09-2026</t>
  </si>
  <si>
    <t>N°0089008 du 23-09-2026</t>
  </si>
  <si>
    <t>REF-A N°005201 du 23-09-2026</t>
  </si>
  <si>
    <t>REF-B N°008075 du 23-09-2026</t>
  </si>
  <si>
    <t>N°0028578 du 24-09-2026</t>
  </si>
  <si>
    <t>REF-A N°019992 du 24-09-2026</t>
  </si>
  <si>
    <t>REF-B N°001863 du 24-09-2026</t>
  </si>
  <si>
    <t>N°0003435 du 25-09-2026</t>
  </si>
  <si>
    <t>REF-B N°007903 du 25-09-2026</t>
  </si>
  <si>
    <t>N°0090822 du 25-09-2026</t>
  </si>
  <si>
    <t>REF-B N°009181 du 25-09-2026</t>
  </si>
  <si>
    <t>N°0009648 du 28-09-2026</t>
  </si>
  <si>
    <t>REF-A N°018590 du 28-09-2026</t>
  </si>
  <si>
    <t>REF-B N°005395 du 28-09-2026</t>
  </si>
  <si>
    <t>N°0011802 du 28-09-2026</t>
  </si>
  <si>
    <t>REF-B N°007793 du 28-09-2026</t>
  </si>
  <si>
    <t>N°0095662 du 28-09-2026</t>
  </si>
  <si>
    <t>REF-A N°009639 du 28-09-2026</t>
  </si>
  <si>
    <t>REF-B N°008822 du 28-09-2026</t>
  </si>
  <si>
    <t>N°0059707 du 28-09-2026</t>
  </si>
  <si>
    <t>REF-B N°008851 du 28-09-2026</t>
  </si>
  <si>
    <t>N°0052488 du 28-09-2026</t>
  </si>
  <si>
    <t>REF-B N°006110 du 28-09-2026</t>
  </si>
  <si>
    <t>N°0039446 du 29-09-2026</t>
  </si>
  <si>
    <t>REF-A N°009945 du 29-09-2026</t>
  </si>
  <si>
    <t>REF-B N°002822 du 29-09-2026</t>
  </si>
  <si>
    <t>N°0055335 du 29-09-2026</t>
  </si>
  <si>
    <t>REF-B N°003044 du 29-09-2026</t>
  </si>
  <si>
    <t>N°0030407 du 30-09-2026</t>
  </si>
  <si>
    <t>REF-B N°006895 du 30-09-2026</t>
  </si>
  <si>
    <t>N°0071560 du 01-10-2026</t>
  </si>
  <si>
    <t>REF-A N°003453 du 01-10-2026</t>
  </si>
  <si>
    <t>REF-B N°009874 du 01-10-2026</t>
  </si>
  <si>
    <t>N°0078275 du 01-10-2026</t>
  </si>
  <si>
    <t>REF-B N°008199 du 01-10-2026</t>
  </si>
  <si>
    <t>N°0032555 du 01-10-2026</t>
  </si>
  <si>
    <t>REF-B N°005598 du 01-10-2026</t>
  </si>
  <si>
    <t>N°0065188 du 01-10-2026</t>
  </si>
  <si>
    <t>REF-A N°006612 du 01-10-2026</t>
  </si>
  <si>
    <t>REF-B N°001794 du 01-10-2026</t>
  </si>
  <si>
    <t>N°0025000 du 02-10-2026</t>
  </si>
  <si>
    <t>REF-B N°002427 du 02-10-2026</t>
  </si>
  <si>
    <t>N°0058407 du 02-10-2026</t>
  </si>
  <si>
    <t>REF-A N°018144 du 02-10-2026</t>
  </si>
  <si>
    <t>REF-B N°003205 du 02-10-2026</t>
  </si>
  <si>
    <t>N°0022959 du 02-10-2026</t>
  </si>
  <si>
    <t>REF-B N°002514 du 02-10-2026</t>
  </si>
  <si>
    <t>N°0099487 du 05-10-2026</t>
  </si>
  <si>
    <t>REF-A N°005496 du 05-10-2026</t>
  </si>
  <si>
    <t>REF-B N°000561 du 05-10-2026</t>
  </si>
  <si>
    <t>N°0015522 du 05-10-2026</t>
  </si>
  <si>
    <t>REF-B N°006320 du 05-10-2026</t>
  </si>
  <si>
    <t>N°0062658 du 06-10-2026</t>
  </si>
  <si>
    <t>REF-A N°006913 du 06-10-2026</t>
  </si>
  <si>
    <t>REF-B N°001905 du 06-10-2026</t>
  </si>
  <si>
    <t>N°0057364 du 06-10-2026</t>
  </si>
  <si>
    <t>REF-B N°005208 du 06-10-2026</t>
  </si>
  <si>
    <t>N°0050975 du 06-10-2026</t>
  </si>
  <si>
    <t>REF-A N°008103 du 06-10-2026</t>
  </si>
  <si>
    <t>REF-B N°003487 du 06-10-2026</t>
  </si>
  <si>
    <t>N°0013643 du 07-10-2026</t>
  </si>
  <si>
    <t>REF-A N°012689 du 07-10-2026</t>
  </si>
  <si>
    <t>REF-B N°006619 du 07-10-2026</t>
  </si>
  <si>
    <t>N°0031787 du 07-10-2026</t>
  </si>
  <si>
    <t>REF-A N°012228 du 07-10-2026</t>
  </si>
  <si>
    <t>REF-B N°001007 du 07-10-2026</t>
  </si>
  <si>
    <t>N°0026880 du 07-10-2026</t>
  </si>
  <si>
    <t>REF-B N°000954 du 07-10-2026</t>
  </si>
  <si>
    <t>N°0064758 du 09-10-2026</t>
  </si>
  <si>
    <t>REF-B N°003673 du 09-10-2026</t>
  </si>
  <si>
    <t>N°0053333 du 09-10-2026</t>
  </si>
  <si>
    <t>REF-A N°013772 du 09-10-2026</t>
  </si>
  <si>
    <t>REF-B N°007368 du 09-10-2026</t>
  </si>
  <si>
    <t>N°0033874 du 09-10-2026</t>
  </si>
  <si>
    <t>REF-A N°009018 du 09-10-2026</t>
  </si>
  <si>
    <t>REF-B N°009429 du 09-10-2026</t>
  </si>
  <si>
    <t>N°0059043 du 12-10-2026</t>
  </si>
  <si>
    <t>REF-B N°008437 du 12-10-2026</t>
  </si>
  <si>
    <t>N°0081947 du 12-10-2026</t>
  </si>
  <si>
    <t>REF-A N°002841 du 12-10-2026</t>
  </si>
  <si>
    <t>REF-B N°009647 du 12-10-2026</t>
  </si>
  <si>
    <t>N°0012061 du 12-10-2026</t>
  </si>
  <si>
    <t>REF-A N°002566 du 12-10-2026</t>
  </si>
  <si>
    <t>REF-B N°007723 du 12-10-2026</t>
  </si>
  <si>
    <t>N°0037986 du 12-10-2026</t>
  </si>
  <si>
    <t>REF-A N°016319 du 12-10-2026</t>
  </si>
  <si>
    <t>REF-B N°008725 du 12-10-2026</t>
  </si>
  <si>
    <t>N°0071201 du 13-10-2026</t>
  </si>
  <si>
    <t>REF-B N°002569 du 13-10-2026</t>
  </si>
  <si>
    <t>N°0087920 du 13-10-2026</t>
  </si>
  <si>
    <t>REF-B N°005696 du 13-10-2026</t>
  </si>
  <si>
    <t>N°0037564 du 13-10-2026</t>
  </si>
  <si>
    <t>REF-A N°016494 du 13-10-2026</t>
  </si>
  <si>
    <t>REF-B N°005934 du 13-10-2026</t>
  </si>
  <si>
    <t>N°0078888 du 13-10-2026</t>
  </si>
  <si>
    <t>REF-B N°005333 du 13-10-2026</t>
  </si>
  <si>
    <t>N°0058598 du 14-10-2026</t>
  </si>
  <si>
    <t>REF-A N°018079 du 14-10-2026</t>
  </si>
  <si>
    <t>REF-B N°008921 du 14-10-2026</t>
  </si>
  <si>
    <t>N°0080699 du 14-10-2026</t>
  </si>
  <si>
    <t>REF-B N°005182 du 14-10-2026</t>
  </si>
  <si>
    <t>N°0070315 du 14-10-2026</t>
  </si>
  <si>
    <t>REF-A N°008314 du 14-10-2026</t>
  </si>
  <si>
    <t>REF-B N°006294 du 14-10-2026</t>
  </si>
  <si>
    <t>N°0000386 du 14-10-2026</t>
  </si>
  <si>
    <t>REF-A N°014458 du 14-10-2026</t>
  </si>
  <si>
    <t>REF-B N°003268 du 14-10-2026</t>
  </si>
  <si>
    <t>N°0035770 du 15-10-2026</t>
  </si>
  <si>
    <t>REF-A N°002105 du 15-10-2026</t>
  </si>
  <si>
    <t>REF-B N°003504 du 15-10-2026</t>
  </si>
  <si>
    <t>N°0009515 du 15-10-2026</t>
  </si>
  <si>
    <t>REF-B N°003091 du 15-10-2026</t>
  </si>
  <si>
    <t>N°0079515 du 15-10-2026</t>
  </si>
  <si>
    <t>REF-A N°004393 du 15-10-2026</t>
  </si>
  <si>
    <t>REF-B N°007454 du 15-10-2026</t>
  </si>
  <si>
    <t>N°0026872 du 15-10-2026</t>
  </si>
  <si>
    <t>REF-B N°006312 du 15-10-2026</t>
  </si>
  <si>
    <t>N°0020448 du 15-10-2026</t>
  </si>
  <si>
    <t>REF-A N°005352 du 15-10-2026</t>
  </si>
  <si>
    <t>REF-B N°002571 du 15-10-2026</t>
  </si>
  <si>
    <t>N°0080849 du 15-10-2026</t>
  </si>
  <si>
    <t>REF-A N°017101 du 15-10-2026</t>
  </si>
  <si>
    <t>REF-B N°008766 du 15-10-2026</t>
  </si>
  <si>
    <t>N°0009890 du 16-10-2026</t>
  </si>
  <si>
    <t>REF-B N°008185 du 16-10-2026</t>
  </si>
  <si>
    <t>N°0015682 du 16-10-2026</t>
  </si>
  <si>
    <t>REF-B N°005256 du 16-10-2026</t>
  </si>
  <si>
    <t>N°0044622 du 16-10-2026</t>
  </si>
  <si>
    <t>REF-B N°007025 du 16-10-2026</t>
  </si>
  <si>
    <t>N°0046096 du 16-10-2026</t>
  </si>
  <si>
    <t>REF-A N°014919 du 16-10-2026</t>
  </si>
  <si>
    <t>REF-B N°009902 du 16-10-2026</t>
  </si>
  <si>
    <t>N°0073225 du 16-10-2026</t>
  </si>
  <si>
    <t>REF-B N°003098 du 16-10-2026</t>
  </si>
  <si>
    <t>N°0036060 du 16-10-2026</t>
  </si>
  <si>
    <t>REF-A N°013143 du 16-10-2026</t>
  </si>
  <si>
    <t>REF-B N°000557 du 16-10-2026</t>
  </si>
  <si>
    <t>N°0082334 du 16-10-2026</t>
  </si>
  <si>
    <t>REF-A N°014632 du 16-10-2026</t>
  </si>
  <si>
    <t>REF-B N°008335 du 16-10-2026</t>
  </si>
  <si>
    <t>N°0094435 du 19-10-2026</t>
  </si>
  <si>
    <t>REF-A N°018510 du 19-10-2026</t>
  </si>
  <si>
    <t>REF-B N°000396 du 19-10-2026</t>
  </si>
  <si>
    <t>N°0092211 du 20-10-2026</t>
  </si>
  <si>
    <t>REF-A N°010115 du 20-10-2026</t>
  </si>
  <si>
    <t>REF-B N°003440 du 20-10-2026</t>
  </si>
  <si>
    <t>N°0024223 du 20-10-2026</t>
  </si>
  <si>
    <t>REF-A N°005478 du 20-10-2026</t>
  </si>
  <si>
    <t>REF-B N°005351 du 20-10-2026</t>
  </si>
  <si>
    <t>N°0001500 du 20-10-2026</t>
  </si>
  <si>
    <t>REF-A N°009521 du 20-10-2026</t>
  </si>
  <si>
    <t>REF-B N°006365 du 20-10-2026</t>
  </si>
  <si>
    <t>N°0054406 du 20-10-2026</t>
  </si>
  <si>
    <t>REF-B N°005042 du 20-10-2026</t>
  </si>
  <si>
    <t>N°0039831 du 20-10-2026</t>
  </si>
  <si>
    <t>REF-A N°017279 du 20-10-2026</t>
  </si>
  <si>
    <t>REF-B N°003711 du 20-10-2026</t>
  </si>
  <si>
    <t>N°0011250 du 20-10-2026</t>
  </si>
  <si>
    <t>REF-A N°010680 du 20-10-2026</t>
  </si>
  <si>
    <t>REF-B N°009547 du 20-10-2026</t>
  </si>
  <si>
    <t>N°0045847 du 21-10-2026</t>
  </si>
  <si>
    <t>REF-B N°004251 du 21-10-2026</t>
  </si>
  <si>
    <t>N°0041953 du 21-10-2026</t>
  </si>
  <si>
    <t>REF-A N°008859 du 21-10-2026</t>
  </si>
  <si>
    <t>REF-B N°007454 du 21-10-2026</t>
  </si>
  <si>
    <t>N°0091856 du 22-10-2026</t>
  </si>
  <si>
    <t>REF-B N°002310 du 22-10-2026</t>
  </si>
  <si>
    <t>N°0038175 du 22-10-2026</t>
  </si>
  <si>
    <t>REF-A N°009463 du 22-10-2026</t>
  </si>
  <si>
    <t>REF-B N°008249 du 22-10-2026</t>
  </si>
  <si>
    <t>N°0061014 du 22-10-2026</t>
  </si>
  <si>
    <t>REF-A N°001361 du 22-10-2026</t>
  </si>
  <si>
    <t>REF-B N°000866 du 22-10-2026</t>
  </si>
  <si>
    <t>N°0057502 du 23-10-2026</t>
  </si>
  <si>
    <t>REF-B N°009391 du 23-10-2026</t>
  </si>
  <si>
    <t>N°0087861 du 23-10-2026</t>
  </si>
  <si>
    <t>REF-A N°010785 du 23-10-2026</t>
  </si>
  <si>
    <t>REF-B N°003026 du 23-10-2026</t>
  </si>
  <si>
    <t>N°0084506 du 23-10-2026</t>
  </si>
  <si>
    <t>REF-A N°006181 du 23-10-2026</t>
  </si>
  <si>
    <t>REF-B N°007592 du 23-10-2026</t>
  </si>
  <si>
    <t>N°0048774 du 23-10-2026</t>
  </si>
  <si>
    <t>REF-A N°014793 du 23-10-2026</t>
  </si>
  <si>
    <t>REF-B N°001872 du 23-10-2026</t>
  </si>
  <si>
    <t>N°0084309 du 23-10-2026</t>
  </si>
  <si>
    <t>REF-B N°007998 du 23-10-2026</t>
  </si>
  <si>
    <t>N°0056487 du 26-10-2026</t>
  </si>
  <si>
    <t>REF-B N°008591 du 26-10-2026</t>
  </si>
  <si>
    <t>N°0057857 du 26-10-2026</t>
  </si>
  <si>
    <t>REF-B N°003293 du 26-10-2026</t>
  </si>
  <si>
    <t>N°0074992 du 27-10-2026</t>
  </si>
  <si>
    <t>REF-B N°000404 du 27-10-2026</t>
  </si>
  <si>
    <t>N°0078187 du 27-10-2026</t>
  </si>
  <si>
    <t>REF-A N°009133 du 27-10-2026</t>
  </si>
  <si>
    <t>REF-B N°009395 du 27-10-2026</t>
  </si>
  <si>
    <t>N°0018780 du 27-10-2026</t>
  </si>
  <si>
    <t>REF-A N°012981 du 27-10-2026</t>
  </si>
  <si>
    <t>REF-B N°004000 du 27-10-2026</t>
  </si>
  <si>
    <t>PARAMÈTRES DU DISPOSITIF DE SUIVI DU COURRIER - DSP</t>
  </si>
  <si>
    <t>DÉLAIS RÉGLEMENTAIRES (en jours)</t>
  </si>
  <si>
    <t>Type de courrier</t>
  </si>
  <si>
    <t>Délai agent
(jours)</t>
  </si>
  <si>
    <t>Délai Directeur
(jours)</t>
  </si>
  <si>
    <t>Délai total
(jours)</t>
  </si>
  <si>
    <t>Description</t>
  </si>
  <si>
    <t>Courrier ordinaire - traitement par l'agent sous 5 jours, puis signature du Directeur sous 2 jours</t>
  </si>
  <si>
    <t>Courrier confidentiel - même délai que l'ordinaire</t>
  </si>
  <si>
    <t>N/A</t>
  </si>
  <si>
    <t>Courrier sans objet - aucune réponse attendue</t>
  </si>
  <si>
    <t>DIVISIONS CONCERNÉES</t>
  </si>
  <si>
    <t>Code</t>
  </si>
  <si>
    <t>Libellé</t>
  </si>
  <si>
    <t>Division des Relations Institutionnelles</t>
  </si>
  <si>
    <t>Division Portefeuille</t>
  </si>
  <si>
    <t>Division Suivi, Synthèse et des Études</t>
  </si>
  <si>
    <t>RÈGLES D'ALERTE SUR DÉLAI DE TRAITEMENT</t>
  </si>
  <si>
    <t>Code couleur</t>
  </si>
  <si>
    <t>Seuil de consommation</t>
  </si>
  <si>
    <t>Signification</t>
  </si>
  <si>
    <t>VERT</t>
  </si>
  <si>
    <t>≤ 50% du délai consommé</t>
  </si>
  <si>
    <t>Traitement dans les temps - aucune action</t>
  </si>
  <si>
    <t>JAUNE</t>
  </si>
  <si>
    <t>&gt; 50% et ≤ 80% du délai consommé</t>
  </si>
  <si>
    <t>Vigilance - relancer l'agent ou le Directeur</t>
  </si>
  <si>
    <t>ROUGE</t>
  </si>
  <si>
    <t>&gt; 80% du délai ou délai dépassé</t>
  </si>
  <si>
    <t>Critique - intervention immédiate requise</t>
  </si>
  <si>
    <t>SYSTÈME D'ALERTE DIRECTEUR</t>
  </si>
  <si>
    <t>Le décompte du délai de signature du Directeur (2 jours) démarre automatiquement dès que l'agent soumet le dossier (date renseignée en colonne "Date de soumission du dossier par l'agent" de la feuille Suivi Courrier).</t>
  </si>
  <si>
    <t>La colonne "Alerte délai Directeur" applique les mêmes seuils que ci-dessus (VERT/JAUNE/ROUGE) sur ces 2 jours, et reste vide tant que le dossier n'a pas été soumis par l'agent.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</si>
</sst>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font>
      <sz val="11"/>
      <color theme="1"/>
      <name val="Calibri"/>
      <charset val="134"/>
    </font>
    <font>
      <sz val="11"/>
      <color theme="1"/>
      <name val="Calibri"/>
      <family val="2"/>
      <charset val="1"/>
    </font>
    <font>
      <b/>
      <sz val="11"/>
      <name val="Cambria"/>
      <charset val="1"/>
    </font>
    <font>
      <b/>
      <sz val="14"/>
      <color rgb="FF1F3864"/>
      <name val="Cambria"/>
      <charset val="1"/>
    </font>
    <font>
      <b/>
      <sz val="11"/>
      <color rgb="FFFFFFFF"/>
      <name val="Cambria"/>
      <charset val="1"/>
    </font>
    <font>
      <b/>
      <sz val="12"/>
      <color rgb="FFFFFFFF"/>
      <name val="Arial"/>
      <family val="2"/>
      <charset val="1"/>
    </font>
    <font>
      <b/>
      <sz val="11"/>
      <name val="Arial"/>
      <family val="2"/>
      <charset val="1"/>
    </font>
    <font>
      <sz val="11"/>
      <name val="Arial"/>
      <family val="2"/>
      <charset val="1"/>
    </font>
    <font>
      <b/>
      <sz val="11"/>
      <color rgb="FF9C0006"/>
      <name val="Arial"/>
      <family val="2"/>
      <charset val="1"/>
    </font>
  </fonts>
  <fills count="7">
    <fill>
      <patternFill patternType="none"/>
    </fill>
    <fill>
      <patternFill patternType="gray125"/>
    </fill>
    <fill>
      <patternFill patternType="solid">
        <fgColor rgb="FF1F3864"/>
        <bgColor rgb="FF1F4E78"/>
      </patternFill>
    </fill>
    <fill>
      <patternFill patternType="solid">
        <fgColor rgb="FF1F4E78"/>
        <bgColor rgb="FF1F3864"/>
      </patternFill>
    </fill>
    <fill>
      <patternFill patternType="solid">
        <fgColor rgb="FFD9E1F2"/>
        <bgColor rgb="FFC6EFCE"/>
      </patternFill>
    </fill>
    <fill>
      <patternFill patternType="solid">
        <fgColor rgb="FFFFF2CC"/>
        <bgColor rgb="FFFFEB9C"/>
      </patternFill>
    </fill>
    <fill>
      <patternFill patternType="solid">
        <fgColor rgb="FFFFC7CE"/>
        <bgColor rgb="FFD9E1F2"/>
      </patternFill>
    </fill>
  </fills>
  <borders count="3">
    <border>
      <left/>
      <right/>
      <top/>
      <bottom/>
      <diagonal/>
    </border>
    <border>
      <left style="thin">
        <color rgb="FF999999"/>
      </left>
      <right style="thin">
        <color rgb="FF999999"/>
      </right>
      <top style="thin">
        <color rgb="FF999999"/>
      </top>
      <bottom style="thin">
        <color rgb="FF999999"/>
      </bottom>
      <diagonal/>
    </border>
    <border>
      <left style="thin">
        <color rgb="FF808080"/>
      </left>
      <right style="thin">
        <color rgb="FF808080"/>
      </right>
      <top style="thin">
        <color rgb="FF808080"/>
      </top>
      <bottom style="thin">
        <color rgb="FF808080"/>
      </bottom>
      <diagonal/>
    </border>
  </borders>
  <cellStyleXfs count="2">
    <xf numFmtId="0" fontId="0" fillId="0" borderId="0">
      <alignment vertical="center"/>
    </xf>
    <xf numFmtId="0" fontId="1" fillId="0" borderId="0"/>
  </cellStyleXfs>
  <cellXfs count="23">
    <xf numFmtId="0" fontId="0" fillId="0" borderId="0" xfId="0">
      <alignment vertical="center"/>
    </xf>
    <xf numFmtId="0" fontId="7" fillId="5" borderId="2" xfId="0" applyFont="1" applyFill="1" applyBorder="1" applyAlignment="1">
      <alignment horizontal="left" vertical="center"/>
    </xf>
    <xf numFmtId="0" fontId="6" fillId="4" borderId="2" xfId="0" applyFont="1" applyFill="1" applyBorder="1" applyAlignment="1">
      <alignment horizontal="center" vertical="center"/>
    </xf>
    <xf numFmtId="0" fontId="5" fillId="3" borderId="0" xfId="0" applyFont="1" applyFill="1" applyAlignment="1">
      <alignment horizontal="center" vertical="center"/>
    </xf>
    <xf numFmtId="0" fontId="3" fillId="0" borderId="0" xfId="0" applyFont="1" applyAlignment="1">
      <alignment horizontal="center"/>
    </xf>
    <xf numFmtId="0" fontId="0" fillId="0" borderId="0" xfId="0" applyAlignment="1"/>
    <xf numFmtId="0" fontId="2" fillId="0" borderId="0" xfId="0" applyFont="1" applyAlignment="1">
      <alignment horizontal="center"/>
    </xf>
    <xf numFmtId="0" fontId="0" fillId="0" borderId="0" xfId="0" applyAlignment="1"/>
    <xf numFmtId="0" fontId="2" fillId="0" borderId="0" xfId="0" applyFont="1" applyAlignment="1">
      <alignment horizontal="center"/>
    </xf>
    <xf numFmtId="164" fontId="2" fillId="0" borderId="0" xfId="0" applyNumberFormat="1" applyFont="1" applyAlignment="1">
      <alignment horizontal="center"/>
    </xf>
    <xf numFmtId="0" fontId="4" fillId="2" borderId="1" xfId="0" applyFont="1" applyFill="1" applyBorder="1" applyAlignment="1">
      <alignment horizontal="center" vertical="center" wrapText="1"/>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6" fillId="4" borderId="2" xfId="0" applyFont="1" applyFill="1" applyBorder="1" applyAlignment="1">
      <alignment horizontal="center" vertical="center"/>
    </xf>
    <xf numFmtId="0" fontId="6" fillId="4" borderId="2" xfId="0" applyFont="1" applyFill="1" applyBorder="1" applyAlignment="1">
      <alignment horizontal="center" vertical="center" wrapText="1"/>
    </xf>
    <xf numFmtId="0" fontId="7" fillId="5" borderId="2" xfId="0" applyFont="1" applyFill="1" applyBorder="1" applyAlignment="1">
      <alignment horizontal="center" vertical="center"/>
    </xf>
    <xf numFmtId="0" fontId="7" fillId="5" borderId="2" xfId="0" applyFont="1" applyFill="1" applyBorder="1" applyAlignment="1">
      <alignment horizontal="left" vertical="center"/>
    </xf>
    <xf numFmtId="0" fontId="6" fillId="5" borderId="2" xfId="0" applyFont="1" applyFill="1" applyBorder="1" applyAlignment="1">
      <alignment horizontal="center" vertical="center"/>
    </xf>
    <xf numFmtId="0" fontId="8" fillId="6" borderId="2" xfId="0" applyFont="1" applyFill="1" applyBorder="1" applyAlignment="1">
      <alignment horizontal="center" vertical="center"/>
    </xf>
    <xf numFmtId="0" fontId="7" fillId="0" borderId="2" xfId="0" applyFont="1" applyBorder="1" applyAlignment="1">
      <alignment horizontal="center" vertical="center"/>
    </xf>
    <xf numFmtId="0" fontId="7" fillId="0" borderId="2" xfId="0" applyFont="1" applyBorder="1" applyAlignment="1">
      <alignment horizontal="left" vertical="center"/>
    </xf>
  </cellXfs>
  <cellStyles count="2">
    <cellStyle name="Normal" xfId="0" builtinId="0"/>
    <cellStyle name="Normal 2" xfId="1" xr:uid="{00000000-0005-0000-0000-000006000000}"/>
  </cellStyles>
  <dxfs count="8">
    <dxf>
      <fill>
        <patternFill>
          <bgColor rgb="FFFFC7CE"/>
        </patternFill>
      </fill>
    </dxf>
    <dxf>
      <fill>
        <patternFill>
          <bgColor rgb="FFC6EFCE"/>
        </patternFill>
      </fill>
    </dxf>
    <dxf>
      <fill>
        <patternFill>
          <bgColor rgb="FFFFC7CE"/>
        </patternFill>
      </fill>
    </dxf>
    <dxf>
      <fill>
        <patternFill>
          <bgColor rgb="FFFFEB9C"/>
        </patternFill>
      </fill>
    </dxf>
    <dxf>
      <fill>
        <patternFill>
          <bgColor rgb="FFC6EFCE"/>
        </patternFill>
      </fill>
    </dxf>
    <dxf>
      <fill>
        <patternFill>
          <bgColor rgb="FFFFC7CE"/>
        </patternFill>
      </fill>
    </dxf>
    <dxf>
      <fill>
        <patternFill>
          <bgColor rgb="FFFFEB9C"/>
        </patternFill>
      </fill>
    </dxf>
    <dxf>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99999"/>
      <rgbColor rgb="FF1F3864"/>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WPS">
  <a:themeElements>
    <a:clrScheme name="WPS">
      <a:dk1>
        <a:srgbClr val="000000"/>
      </a:dk1>
      <a:lt1>
        <a:srgbClr val="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majorFont>
      <a:minorFont>
        <a:latin typeface="Calibri"/>
        <a:ea typeface=""/>
        <a:cs typeface=""/>
      </a:minorFont>
    </a:fontScheme>
    <a:fmtScheme>
      <a:fillStyleLst>
        <a:solidFill>
          <a:schemeClr val="phClr"/>
        </a:solidFill>
        <a:gradFill>
          <a:gsLst>
            <a:gs pos="0">
              <a:schemeClr val="phClr">
                <a:lumOff val="17500"/>
              </a:schemeClr>
            </a:gs>
            <a:gs pos="100000">
              <a:schemeClr val="phClr"/>
            </a:gs>
          </a:gsLst>
          <a:lin ang="2700000" scaled="0"/>
          <a:tileRect/>
        </a:gradFill>
        <a:gradFill>
          <a:gsLst>
            <a:gs pos="0">
              <a:schemeClr val="phClr"/>
            </a:gs>
            <a:gs pos="100000">
              <a:schemeClr val="phClr"/>
            </a:gs>
          </a:gsLst>
          <a:lin ang="2700000" scaled="0"/>
          <a:tileRect/>
        </a:gradFill>
      </a:fillStyleLst>
      <a:lnStyleLst>
        <a:ln w="12700" cap="flat" cmpd="sng" algn="ctr">
          <a:prstDash val="solid"/>
          <a:miter lim="800000"/>
        </a:ln>
        <a:ln w="12700" cap="flat" cmpd="sng" algn="ctr">
          <a:prstDash val="solid"/>
          <a:miter lim="800000"/>
        </a:ln>
        <a:ln w="127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W729"/>
  <sheetViews>
    <sheetView tabSelected="1" zoomScaleNormal="100" workbookViewId="0">
      <pane xSplit="2" ySplit="16" topLeftCell="C17" activePane="bottomRight" state="frozen"/>
      <selection pane="topRight" activeCell="C1" sqref="C1"/>
      <selection pane="bottomLeft" activeCell="A17" sqref="A17"/>
      <selection pane="bottomRight"/>
    </sheetView>
  </sheetViews>
  <sheetFormatPr baseColWidth="10" defaultColWidth="8.6640625" defaultRowHeight="14.25"/>
  <cols>
    <col min="1" max="1" width="9" style="7" customWidth="1"/>
    <col min="2" max="2" width="13" style="7" customWidth="1"/>
    <col min="3" max="3" width="26" style="7" customWidth="1"/>
    <col min="4" max="4" width="24" style="7" customWidth="1"/>
    <col min="5" max="5" width="32" style="7" customWidth="1"/>
    <col min="6" max="6" width="28" style="7" customWidth="1"/>
    <col min="7" max="7" width="22" style="7" customWidth="1"/>
    <col min="8" max="8" width="11" style="7" customWidth="1"/>
    <col min="9" max="9" width="55" style="7" customWidth="1"/>
    <col min="10" max="12" width="14" style="7" customWidth="1"/>
    <col min="13" max="13" width="32" style="7" customWidth="1"/>
    <col min="14" max="14" width="18" style="7" customWidth="1"/>
    <col min="15" max="15" width="16" style="7" customWidth="1"/>
    <col min="16" max="16" width="13" style="7" customWidth="1"/>
    <col min="17" max="17" width="16" style="7" customWidth="1"/>
    <col min="18" max="18" width="12" style="7" customWidth="1"/>
    <col min="19" max="20" width="16" style="7" customWidth="1"/>
    <col min="21" max="21" width="13" style="7" customWidth="1"/>
    <col min="22" max="22" width="11" style="7" customWidth="1"/>
    <col min="23" max="23" width="26" style="7" customWidth="1"/>
  </cols>
  <sheetData>
    <row r="2" spans="1:23">
      <c r="P2" s="6" t="s">
        <v>0</v>
      </c>
      <c r="Q2" s="6"/>
      <c r="R2" s="6"/>
    </row>
    <row r="3" spans="1:23">
      <c r="P3" s="5" t="s">
        <v>1</v>
      </c>
      <c r="Q3" s="5"/>
      <c r="R3" s="8">
        <f>COUNTA(C17:C1029)</f>
        <v>713</v>
      </c>
    </row>
    <row r="4" spans="1:23">
      <c r="P4" s="5" t="s">
        <v>2</v>
      </c>
      <c r="Q4" s="5"/>
      <c r="R4" s="8">
        <f>COUNTIF(G17:G1029,"Ne nécessite pas de réponse")</f>
        <v>154</v>
      </c>
    </row>
    <row r="5" spans="1:23">
      <c r="P5" s="5" t="s">
        <v>3</v>
      </c>
      <c r="Q5" s="5"/>
      <c r="R5" s="8">
        <f>R3-R4</f>
        <v>559</v>
      </c>
    </row>
    <row r="6" spans="1:23">
      <c r="P6" s="5" t="s">
        <v>4</v>
      </c>
      <c r="Q6" s="5"/>
      <c r="R6" s="8">
        <f>COUNT(T17:T1029)</f>
        <v>510</v>
      </c>
    </row>
    <row r="7" spans="1:23">
      <c r="P7" s="5" t="s">
        <v>5</v>
      </c>
      <c r="Q7" s="5"/>
      <c r="R7" s="8">
        <f>COUNTIF(W17:W1029,"Dans les délais")</f>
        <v>181</v>
      </c>
    </row>
    <row r="8" spans="1:23">
      <c r="P8" s="5" t="s">
        <v>6</v>
      </c>
      <c r="Q8" s="5"/>
      <c r="R8" s="8">
        <f ca="1">COUNTIF(Q17:Q1029,"JAUNE")</f>
        <v>4</v>
      </c>
    </row>
    <row r="9" spans="1:23">
      <c r="P9" s="5" t="s">
        <v>7</v>
      </c>
      <c r="Q9" s="5"/>
      <c r="R9" s="8">
        <f ca="1">COUNTIF(Q17:Q1029,"ROUGE")</f>
        <v>35</v>
      </c>
    </row>
    <row r="10" spans="1:23">
      <c r="P10" s="5" t="s">
        <v>8</v>
      </c>
      <c r="Q10" s="5"/>
      <c r="R10" s="9">
        <f>IFERROR(R7/R5,0)</f>
        <v>0.32379248658318427</v>
      </c>
    </row>
    <row r="11" spans="1:23">
      <c r="P11" s="5" t="s">
        <v>9</v>
      </c>
      <c r="Q11" s="5"/>
      <c r="R11" s="8">
        <f ca="1">COUNTIF(S17:S1029,"JAUNE")</f>
        <v>0</v>
      </c>
    </row>
    <row r="12" spans="1:23">
      <c r="P12" s="5" t="s">
        <v>10</v>
      </c>
      <c r="Q12" s="5"/>
      <c r="R12" s="8">
        <f ca="1">COUNTIF(S17:S1029,"ROUGE")</f>
        <v>2</v>
      </c>
    </row>
    <row r="13" spans="1:23">
      <c r="P13" s="5" t="s">
        <v>11</v>
      </c>
      <c r="Q13" s="5"/>
      <c r="R13" s="8">
        <f>COUNTIFS(O17:O1029,"&lt;&gt;",T17:T1029,"")</f>
        <v>6</v>
      </c>
    </row>
    <row r="14" spans="1:23" ht="17.25">
      <c r="B14" s="4" t="s">
        <v>12</v>
      </c>
      <c r="C14" s="4"/>
      <c r="D14" s="4"/>
      <c r="E14" s="4"/>
      <c r="F14" s="4"/>
      <c r="G14" s="4"/>
      <c r="H14" s="4"/>
      <c r="I14" s="4"/>
      <c r="J14" s="4"/>
      <c r="K14" s="4"/>
      <c r="L14" s="4"/>
      <c r="M14" s="4"/>
      <c r="N14" s="4"/>
      <c r="O14" s="4"/>
      <c r="P14" s="4"/>
      <c r="Q14" s="4"/>
      <c r="R14" s="4"/>
      <c r="S14" s="4"/>
    </row>
    <row r="16" spans="1:23" ht="48" customHeight="1">
      <c r="A16" s="10" t="s">
        <v>13</v>
      </c>
      <c r="B16" s="10" t="s">
        <v>14</v>
      </c>
      <c r="C16" s="10" t="s">
        <v>15</v>
      </c>
      <c r="D16" s="10" t="s">
        <v>16</v>
      </c>
      <c r="E16" s="10" t="s">
        <v>17</v>
      </c>
      <c r="F16" s="10" t="s">
        <v>18</v>
      </c>
      <c r="G16" s="10" t="s">
        <v>19</v>
      </c>
      <c r="H16" s="10" t="s">
        <v>20</v>
      </c>
      <c r="I16" s="10" t="s">
        <v>21</v>
      </c>
      <c r="J16" s="10" t="s">
        <v>22</v>
      </c>
      <c r="K16" s="10" t="s">
        <v>23</v>
      </c>
      <c r="L16" s="10" t="s">
        <v>24</v>
      </c>
      <c r="M16" s="10" t="s">
        <v>25</v>
      </c>
      <c r="N16" s="10" t="s">
        <v>26</v>
      </c>
      <c r="O16" s="10" t="s">
        <v>27</v>
      </c>
      <c r="P16" s="10" t="s">
        <v>28</v>
      </c>
      <c r="Q16" s="10" t="s">
        <v>29</v>
      </c>
      <c r="R16" s="10" t="s">
        <v>30</v>
      </c>
      <c r="S16" s="10" t="s">
        <v>31</v>
      </c>
      <c r="T16" s="10" t="s">
        <v>32</v>
      </c>
      <c r="U16" s="10" t="s">
        <v>33</v>
      </c>
      <c r="V16" s="10" t="s">
        <v>34</v>
      </c>
      <c r="W16" s="10" t="s">
        <v>35</v>
      </c>
    </row>
    <row r="17" spans="1:23">
      <c r="A17" s="11">
        <v>1</v>
      </c>
      <c r="B17" s="12">
        <v>46027</v>
      </c>
      <c r="C17" s="13" t="s">
        <v>36</v>
      </c>
      <c r="D17" s="13" t="s">
        <v>37</v>
      </c>
      <c r="E17" s="13"/>
      <c r="F17" s="13" t="s">
        <v>38</v>
      </c>
      <c r="G17" s="11" t="s">
        <v>39</v>
      </c>
      <c r="H17" s="11">
        <f>IFERROR(VLOOKUP(G17,Paramètres!$B$6:$F$8,2,FALSE()),"")</f>
        <v>5</v>
      </c>
      <c r="I17" s="13" t="s">
        <v>40</v>
      </c>
      <c r="J17" s="11" t="s">
        <v>41</v>
      </c>
      <c r="K17" s="12">
        <v>46027</v>
      </c>
      <c r="L17" s="12">
        <v>46027</v>
      </c>
      <c r="M17" s="13" t="s">
        <v>42</v>
      </c>
      <c r="N17" s="14" t="s">
        <v>43</v>
      </c>
      <c r="O17" s="12">
        <v>46034</v>
      </c>
      <c r="P17" s="11">
        <f t="shared" ref="P17:P80" si="0">IF(G17="Ne nécessite pas de réponse","-",IF(AND(ISNUMBER(B17),ISNUMBER(O17)),O17-B17,""))</f>
        <v>7</v>
      </c>
      <c r="Q17" s="11" t="str">
        <f t="shared" ref="Q17:Q80" ca="1" si="1">IF(G17="Ne nécessite pas de réponse","-",IF(O17&lt;&gt;"","-",IF(OR(B17="",H17="",NOT(ISNUMBER(H17)),H17=0),"",IF((TODAY()-B17)/H17&lt;=0.5,"VERT",IF((TODAY()-B17)/H17&lt;=0.8,"JAUNE","ROUGE")))))</f>
        <v>-</v>
      </c>
      <c r="R17" s="11">
        <f>IFERROR(VLOOKUP(G17,Paramètres!$B$6:$F$8,3,FALSE()),"")</f>
        <v>2</v>
      </c>
      <c r="S17" s="11" t="str">
        <f t="shared" ref="S17:S80" ca="1" si="2">IF(G17="Ne nécessite pas de réponse","-",IF(O17="","",IF(T17&lt;&gt;"","-",IF(OR(R17="",NOT(ISNUMBER(R17)),R17=0),"",IF((TODAY()-O17)/R17&lt;=0.5,"VERT",IF((TODAY()-O17)/R17&lt;=0.8,"JAUNE","ROUGE"))))))</f>
        <v>-</v>
      </c>
      <c r="T17" s="12">
        <v>46035</v>
      </c>
      <c r="U17" s="11">
        <f t="shared" ref="U17:U80" si="3">IF(G17="Ne nécessite pas de réponse","-",IF(AND(ISNUMBER(O17),ISNUMBER(T17)),T17-O17,""))</f>
        <v>1</v>
      </c>
      <c r="V17" s="11">
        <f t="shared" ref="V17:V80" si="4">IF(G17="Ne nécessite pas de réponse","-",IF(AND(ISNUMBER(T17),ISNUMBER(B17),ISNUMBER(H17),ISNUMBER(R17)),T17-(B17+H17+R17),""))</f>
        <v>1</v>
      </c>
      <c r="W17" s="11" t="str">
        <f t="shared" ref="W17:W80" si="5">IF(G17="Ne nécessite pas de réponse","Ne nécessite pas de réponse",IF(T17="","",IF(V17&lt;=0,"Dans les délais","Hors délais")))</f>
        <v>Hors délais</v>
      </c>
    </row>
    <row r="18" spans="1:23">
      <c r="A18" s="11">
        <v>2</v>
      </c>
      <c r="B18" s="12">
        <v>46027</v>
      </c>
      <c r="C18" s="13" t="s">
        <v>44</v>
      </c>
      <c r="D18" s="13" t="s">
        <v>45</v>
      </c>
      <c r="E18" s="13"/>
      <c r="F18" s="13" t="s">
        <v>46</v>
      </c>
      <c r="G18" s="11" t="s">
        <v>39</v>
      </c>
      <c r="H18" s="11">
        <f>IFERROR(VLOOKUP(G18,Paramètres!$B$6:$F$8,2,FALSE()),"")</f>
        <v>5</v>
      </c>
      <c r="I18" s="13" t="s">
        <v>47</v>
      </c>
      <c r="J18" s="11" t="s">
        <v>48</v>
      </c>
      <c r="K18" s="12">
        <v>46028</v>
      </c>
      <c r="L18" s="12">
        <v>46028</v>
      </c>
      <c r="M18" s="13" t="s">
        <v>49</v>
      </c>
      <c r="N18" s="14" t="s">
        <v>50</v>
      </c>
      <c r="O18" s="12">
        <v>46034</v>
      </c>
      <c r="P18" s="11">
        <f t="shared" si="0"/>
        <v>7</v>
      </c>
      <c r="Q18" s="11" t="str">
        <f t="shared" ca="1" si="1"/>
        <v>-</v>
      </c>
      <c r="R18" s="11">
        <f>IFERROR(VLOOKUP(G18,Paramètres!$B$6:$F$8,3,FALSE()),"")</f>
        <v>2</v>
      </c>
      <c r="S18" s="11" t="str">
        <f t="shared" ca="1" si="2"/>
        <v>-</v>
      </c>
      <c r="T18" s="12">
        <v>46036</v>
      </c>
      <c r="U18" s="11">
        <f t="shared" si="3"/>
        <v>2</v>
      </c>
      <c r="V18" s="11">
        <f t="shared" si="4"/>
        <v>2</v>
      </c>
      <c r="W18" s="11" t="str">
        <f t="shared" si="5"/>
        <v>Hors délais</v>
      </c>
    </row>
    <row r="19" spans="1:23">
      <c r="A19" s="11">
        <v>3</v>
      </c>
      <c r="B19" s="12">
        <v>46028</v>
      </c>
      <c r="C19" s="13" t="s">
        <v>51</v>
      </c>
      <c r="D19" s="13" t="s">
        <v>37</v>
      </c>
      <c r="E19" s="13"/>
      <c r="F19" s="13" t="s">
        <v>52</v>
      </c>
      <c r="G19" s="11" t="s">
        <v>53</v>
      </c>
      <c r="H19" s="11" t="str">
        <f>IFERROR(VLOOKUP(G19,Paramètres!$B$6:$F$8,2,FALSE()),"")</f>
        <v>N/A</v>
      </c>
      <c r="I19" s="13" t="s">
        <v>54</v>
      </c>
      <c r="J19" s="11" t="s">
        <v>55</v>
      </c>
      <c r="K19" s="12">
        <v>46028</v>
      </c>
      <c r="L19" s="12">
        <v>46028</v>
      </c>
      <c r="M19" s="13" t="s">
        <v>56</v>
      </c>
      <c r="N19" s="14" t="s">
        <v>57</v>
      </c>
      <c r="O19" s="12"/>
      <c r="P19" s="11" t="str">
        <f t="shared" si="0"/>
        <v>-</v>
      </c>
      <c r="Q19" s="11" t="str">
        <f t="shared" ca="1" si="1"/>
        <v>-</v>
      </c>
      <c r="R19" s="11" t="str">
        <f>IFERROR(VLOOKUP(G19,Paramètres!$B$6:$F$8,3,FALSE()),"")</f>
        <v>N/A</v>
      </c>
      <c r="S19" s="11" t="str">
        <f t="shared" ca="1" si="2"/>
        <v>-</v>
      </c>
      <c r="T19" s="12"/>
      <c r="U19" s="11" t="str">
        <f t="shared" si="3"/>
        <v>-</v>
      </c>
      <c r="V19" s="11" t="str">
        <f t="shared" si="4"/>
        <v>-</v>
      </c>
      <c r="W19" s="11" t="str">
        <f t="shared" si="5"/>
        <v>Ne nécessite pas de réponse</v>
      </c>
    </row>
    <row r="20" spans="1:23">
      <c r="A20" s="11">
        <v>4</v>
      </c>
      <c r="B20" s="12">
        <v>46028</v>
      </c>
      <c r="C20" s="13" t="s">
        <v>58</v>
      </c>
      <c r="D20" s="13" t="s">
        <v>59</v>
      </c>
      <c r="E20" s="13"/>
      <c r="F20" s="13" t="s">
        <v>60</v>
      </c>
      <c r="G20" s="11" t="s">
        <v>39</v>
      </c>
      <c r="H20" s="11">
        <f>IFERROR(VLOOKUP(G20,Paramètres!$B$6:$F$8,2,FALSE()),"")</f>
        <v>5</v>
      </c>
      <c r="I20" s="13" t="s">
        <v>47</v>
      </c>
      <c r="J20" s="11" t="s">
        <v>48</v>
      </c>
      <c r="K20" s="12">
        <v>46028</v>
      </c>
      <c r="L20" s="12">
        <v>46028</v>
      </c>
      <c r="M20" s="13" t="s">
        <v>61</v>
      </c>
      <c r="N20" s="14" t="s">
        <v>50</v>
      </c>
      <c r="O20" s="12">
        <v>46031</v>
      </c>
      <c r="P20" s="11">
        <f t="shared" si="0"/>
        <v>3</v>
      </c>
      <c r="Q20" s="11" t="str">
        <f t="shared" ca="1" si="1"/>
        <v>-</v>
      </c>
      <c r="R20" s="11">
        <f>IFERROR(VLOOKUP(G20,Paramètres!$B$6:$F$8,3,FALSE()),"")</f>
        <v>2</v>
      </c>
      <c r="S20" s="11" t="str">
        <f t="shared" ca="1" si="2"/>
        <v>-</v>
      </c>
      <c r="T20" s="12">
        <v>46031</v>
      </c>
      <c r="U20" s="11">
        <f t="shared" si="3"/>
        <v>0</v>
      </c>
      <c r="V20" s="11">
        <f t="shared" si="4"/>
        <v>-4</v>
      </c>
      <c r="W20" s="11" t="str">
        <f t="shared" si="5"/>
        <v>Dans les délais</v>
      </c>
    </row>
    <row r="21" spans="1:23">
      <c r="A21" s="11">
        <v>5</v>
      </c>
      <c r="B21" s="12">
        <v>46028</v>
      </c>
      <c r="C21" s="13" t="s">
        <v>62</v>
      </c>
      <c r="D21" s="13" t="s">
        <v>63</v>
      </c>
      <c r="E21" s="13"/>
      <c r="F21" s="13" t="s">
        <v>64</v>
      </c>
      <c r="G21" s="11" t="s">
        <v>39</v>
      </c>
      <c r="H21" s="11">
        <f>IFERROR(VLOOKUP(G21,Paramètres!$B$6:$F$8,2,FALSE()),"")</f>
        <v>5</v>
      </c>
      <c r="I21" s="13" t="s">
        <v>65</v>
      </c>
      <c r="J21" s="11" t="s">
        <v>55</v>
      </c>
      <c r="K21" s="12">
        <v>46029</v>
      </c>
      <c r="L21" s="12">
        <v>46030</v>
      </c>
      <c r="M21" s="13" t="s">
        <v>42</v>
      </c>
      <c r="N21" s="14" t="s">
        <v>66</v>
      </c>
      <c r="O21" s="12">
        <v>46037</v>
      </c>
      <c r="P21" s="11">
        <f t="shared" si="0"/>
        <v>9</v>
      </c>
      <c r="Q21" s="11" t="str">
        <f t="shared" ca="1" si="1"/>
        <v>-</v>
      </c>
      <c r="R21" s="11">
        <f>IFERROR(VLOOKUP(G21,Paramètres!$B$6:$F$8,3,FALSE()),"")</f>
        <v>2</v>
      </c>
      <c r="S21" s="11" t="str">
        <f t="shared" ca="1" si="2"/>
        <v>-</v>
      </c>
      <c r="T21" s="12">
        <v>46037</v>
      </c>
      <c r="U21" s="11">
        <f t="shared" si="3"/>
        <v>0</v>
      </c>
      <c r="V21" s="11">
        <f t="shared" si="4"/>
        <v>2</v>
      </c>
      <c r="W21" s="11" t="str">
        <f t="shared" si="5"/>
        <v>Hors délais</v>
      </c>
    </row>
    <row r="22" spans="1:23">
      <c r="A22" s="11">
        <v>6</v>
      </c>
      <c r="B22" s="12">
        <v>46028</v>
      </c>
      <c r="C22" s="13" t="s">
        <v>67</v>
      </c>
      <c r="D22" s="13" t="s">
        <v>68</v>
      </c>
      <c r="E22" s="13" t="s">
        <v>69</v>
      </c>
      <c r="F22" s="13" t="s">
        <v>70</v>
      </c>
      <c r="G22" s="11" t="s">
        <v>39</v>
      </c>
      <c r="H22" s="11">
        <f>IFERROR(VLOOKUP(G22,Paramètres!$B$6:$F$8,2,FALSE()),"")</f>
        <v>5</v>
      </c>
      <c r="I22" s="13" t="s">
        <v>71</v>
      </c>
      <c r="J22" s="11" t="s">
        <v>41</v>
      </c>
      <c r="K22" s="12">
        <v>46028</v>
      </c>
      <c r="L22" s="12">
        <v>46029</v>
      </c>
      <c r="M22" s="13" t="s">
        <v>56</v>
      </c>
      <c r="N22" s="14" t="s">
        <v>43</v>
      </c>
      <c r="O22" s="12">
        <v>46035</v>
      </c>
      <c r="P22" s="11">
        <f t="shared" si="0"/>
        <v>7</v>
      </c>
      <c r="Q22" s="11" t="str">
        <f t="shared" ca="1" si="1"/>
        <v>-</v>
      </c>
      <c r="R22" s="11">
        <f>IFERROR(VLOOKUP(G22,Paramètres!$B$6:$F$8,3,FALSE()),"")</f>
        <v>2</v>
      </c>
      <c r="S22" s="11" t="str">
        <f t="shared" ca="1" si="2"/>
        <v>-</v>
      </c>
      <c r="T22" s="12">
        <v>46038</v>
      </c>
      <c r="U22" s="11">
        <f t="shared" si="3"/>
        <v>3</v>
      </c>
      <c r="V22" s="11">
        <f t="shared" si="4"/>
        <v>3</v>
      </c>
      <c r="W22" s="11" t="str">
        <f t="shared" si="5"/>
        <v>Hors délais</v>
      </c>
    </row>
    <row r="23" spans="1:23" ht="28.5">
      <c r="A23" s="11">
        <v>7</v>
      </c>
      <c r="B23" s="12">
        <v>46029</v>
      </c>
      <c r="C23" s="13" t="s">
        <v>72</v>
      </c>
      <c r="D23" s="13" t="s">
        <v>37</v>
      </c>
      <c r="E23" s="13"/>
      <c r="F23" s="13" t="s">
        <v>73</v>
      </c>
      <c r="G23" s="11" t="s">
        <v>39</v>
      </c>
      <c r="H23" s="11">
        <f>IFERROR(VLOOKUP(G23,Paramètres!$B$6:$F$8,2,FALSE()),"")</f>
        <v>5</v>
      </c>
      <c r="I23" s="13" t="s">
        <v>74</v>
      </c>
      <c r="J23" s="11" t="s">
        <v>41</v>
      </c>
      <c r="K23" s="12">
        <v>46029</v>
      </c>
      <c r="L23" s="12">
        <v>46030</v>
      </c>
      <c r="M23" s="13" t="s">
        <v>75</v>
      </c>
      <c r="N23" s="14" t="s">
        <v>76</v>
      </c>
      <c r="O23" s="12">
        <v>46035</v>
      </c>
      <c r="P23" s="11">
        <f t="shared" si="0"/>
        <v>6</v>
      </c>
      <c r="Q23" s="11" t="str">
        <f t="shared" ca="1" si="1"/>
        <v>-</v>
      </c>
      <c r="R23" s="11">
        <f>IFERROR(VLOOKUP(G23,Paramètres!$B$6:$F$8,3,FALSE()),"")</f>
        <v>2</v>
      </c>
      <c r="S23" s="11" t="str">
        <f t="shared" ca="1" si="2"/>
        <v>-</v>
      </c>
      <c r="T23" s="12">
        <v>46037</v>
      </c>
      <c r="U23" s="11">
        <f t="shared" si="3"/>
        <v>2</v>
      </c>
      <c r="V23" s="11">
        <f t="shared" si="4"/>
        <v>1</v>
      </c>
      <c r="W23" s="11" t="str">
        <f t="shared" si="5"/>
        <v>Hors délais</v>
      </c>
    </row>
    <row r="24" spans="1:23">
      <c r="A24" s="11">
        <v>8</v>
      </c>
      <c r="B24" s="12">
        <v>46029</v>
      </c>
      <c r="C24" s="13" t="s">
        <v>77</v>
      </c>
      <c r="D24" s="13" t="s">
        <v>37</v>
      </c>
      <c r="E24" s="13" t="s">
        <v>78</v>
      </c>
      <c r="F24" s="13" t="s">
        <v>79</v>
      </c>
      <c r="G24" s="11" t="s">
        <v>39</v>
      </c>
      <c r="H24" s="11">
        <f>IFERROR(VLOOKUP(G24,Paramètres!$B$6:$F$8,2,FALSE()),"")</f>
        <v>5</v>
      </c>
      <c r="I24" s="13" t="s">
        <v>40</v>
      </c>
      <c r="J24" s="11" t="s">
        <v>41</v>
      </c>
      <c r="K24" s="12">
        <v>46030</v>
      </c>
      <c r="L24" s="12">
        <v>46031</v>
      </c>
      <c r="M24" s="13" t="s">
        <v>61</v>
      </c>
      <c r="N24" s="14" t="s">
        <v>76</v>
      </c>
      <c r="O24" s="12">
        <v>46037</v>
      </c>
      <c r="P24" s="11">
        <f t="shared" si="0"/>
        <v>8</v>
      </c>
      <c r="Q24" s="11" t="str">
        <f t="shared" ca="1" si="1"/>
        <v>-</v>
      </c>
      <c r="R24" s="11">
        <f>IFERROR(VLOOKUP(G24,Paramètres!$B$6:$F$8,3,FALSE()),"")</f>
        <v>2</v>
      </c>
      <c r="S24" s="11" t="str">
        <f t="shared" ca="1" si="2"/>
        <v>-</v>
      </c>
      <c r="T24" s="12">
        <v>46038</v>
      </c>
      <c r="U24" s="11">
        <f t="shared" si="3"/>
        <v>1</v>
      </c>
      <c r="V24" s="11">
        <f t="shared" si="4"/>
        <v>2</v>
      </c>
      <c r="W24" s="11" t="str">
        <f t="shared" si="5"/>
        <v>Hors délais</v>
      </c>
    </row>
    <row r="25" spans="1:23">
      <c r="A25" s="11">
        <v>9</v>
      </c>
      <c r="B25" s="12">
        <v>46029</v>
      </c>
      <c r="C25" s="13" t="s">
        <v>80</v>
      </c>
      <c r="D25" s="13" t="s">
        <v>81</v>
      </c>
      <c r="E25" s="13" t="s">
        <v>82</v>
      </c>
      <c r="F25" s="13" t="s">
        <v>83</v>
      </c>
      <c r="G25" s="11" t="s">
        <v>84</v>
      </c>
      <c r="H25" s="11">
        <f>IFERROR(VLOOKUP(G25,Paramètres!$B$6:$F$8,2,FALSE()),"")</f>
        <v>5</v>
      </c>
      <c r="I25" s="13" t="s">
        <v>85</v>
      </c>
      <c r="J25" s="11" t="s">
        <v>41</v>
      </c>
      <c r="K25" s="12">
        <v>46029</v>
      </c>
      <c r="L25" s="12">
        <v>46030</v>
      </c>
      <c r="M25" s="13" t="s">
        <v>86</v>
      </c>
      <c r="N25" s="14" t="s">
        <v>87</v>
      </c>
      <c r="O25" s="12">
        <v>46035</v>
      </c>
      <c r="P25" s="11">
        <f t="shared" si="0"/>
        <v>6</v>
      </c>
      <c r="Q25" s="11" t="str">
        <f t="shared" ca="1" si="1"/>
        <v>-</v>
      </c>
      <c r="R25" s="11">
        <f>IFERROR(VLOOKUP(G25,Paramètres!$B$6:$F$8,3,FALSE()),"")</f>
        <v>2</v>
      </c>
      <c r="S25" s="11" t="str">
        <f t="shared" ca="1" si="2"/>
        <v>-</v>
      </c>
      <c r="T25" s="12">
        <v>46036</v>
      </c>
      <c r="U25" s="11">
        <f t="shared" si="3"/>
        <v>1</v>
      </c>
      <c r="V25" s="11">
        <f t="shared" si="4"/>
        <v>0</v>
      </c>
      <c r="W25" s="11" t="str">
        <f t="shared" si="5"/>
        <v>Dans les délais</v>
      </c>
    </row>
    <row r="26" spans="1:23">
      <c r="A26" s="11">
        <v>10</v>
      </c>
      <c r="B26" s="12">
        <v>46029</v>
      </c>
      <c r="C26" s="13" t="s">
        <v>88</v>
      </c>
      <c r="D26" s="13" t="s">
        <v>89</v>
      </c>
      <c r="E26" s="13"/>
      <c r="F26" s="13" t="s">
        <v>90</v>
      </c>
      <c r="G26" s="11" t="s">
        <v>53</v>
      </c>
      <c r="H26" s="11" t="str">
        <f>IFERROR(VLOOKUP(G26,Paramètres!$B$6:$F$8,2,FALSE()),"")</f>
        <v>N/A</v>
      </c>
      <c r="I26" s="13" t="s">
        <v>91</v>
      </c>
      <c r="J26" s="11" t="s">
        <v>41</v>
      </c>
      <c r="K26" s="12">
        <v>46029</v>
      </c>
      <c r="L26" s="12">
        <v>46030</v>
      </c>
      <c r="M26" s="13" t="s">
        <v>86</v>
      </c>
      <c r="N26" s="14" t="s">
        <v>87</v>
      </c>
      <c r="O26" s="12"/>
      <c r="P26" s="11" t="str">
        <f t="shared" si="0"/>
        <v>-</v>
      </c>
      <c r="Q26" s="11" t="str">
        <f t="shared" ca="1" si="1"/>
        <v>-</v>
      </c>
      <c r="R26" s="11" t="str">
        <f>IFERROR(VLOOKUP(G26,Paramètres!$B$6:$F$8,3,FALSE()),"")</f>
        <v>N/A</v>
      </c>
      <c r="S26" s="11" t="str">
        <f t="shared" ca="1" si="2"/>
        <v>-</v>
      </c>
      <c r="T26" s="12"/>
      <c r="U26" s="11" t="str">
        <f t="shared" si="3"/>
        <v>-</v>
      </c>
      <c r="V26" s="11" t="str">
        <f t="shared" si="4"/>
        <v>-</v>
      </c>
      <c r="W26" s="11" t="str">
        <f t="shared" si="5"/>
        <v>Ne nécessite pas de réponse</v>
      </c>
    </row>
    <row r="27" spans="1:23" ht="28.5">
      <c r="A27" s="11">
        <v>11</v>
      </c>
      <c r="B27" s="12">
        <v>46029</v>
      </c>
      <c r="C27" s="13" t="s">
        <v>92</v>
      </c>
      <c r="D27" s="13" t="s">
        <v>59</v>
      </c>
      <c r="E27" s="13"/>
      <c r="F27" s="13" t="s">
        <v>93</v>
      </c>
      <c r="G27" s="11" t="s">
        <v>53</v>
      </c>
      <c r="H27" s="11" t="str">
        <f>IFERROR(VLOOKUP(G27,Paramètres!$B$6:$F$8,2,FALSE()),"")</f>
        <v>N/A</v>
      </c>
      <c r="I27" s="13" t="s">
        <v>94</v>
      </c>
      <c r="J27" s="11" t="s">
        <v>55</v>
      </c>
      <c r="K27" s="12">
        <v>46029</v>
      </c>
      <c r="L27" s="12">
        <v>46029</v>
      </c>
      <c r="M27" s="13" t="s">
        <v>75</v>
      </c>
      <c r="N27" s="14" t="s">
        <v>57</v>
      </c>
      <c r="O27" s="12"/>
      <c r="P27" s="11" t="str">
        <f t="shared" si="0"/>
        <v>-</v>
      </c>
      <c r="Q27" s="11" t="str">
        <f t="shared" ca="1" si="1"/>
        <v>-</v>
      </c>
      <c r="R27" s="11" t="str">
        <f>IFERROR(VLOOKUP(G27,Paramètres!$B$6:$F$8,3,FALSE()),"")</f>
        <v>N/A</v>
      </c>
      <c r="S27" s="11" t="str">
        <f t="shared" ca="1" si="2"/>
        <v>-</v>
      </c>
      <c r="T27" s="12"/>
      <c r="U27" s="11" t="str">
        <f t="shared" si="3"/>
        <v>-</v>
      </c>
      <c r="V27" s="11" t="str">
        <f t="shared" si="4"/>
        <v>-</v>
      </c>
      <c r="W27" s="11" t="str">
        <f t="shared" si="5"/>
        <v>Ne nécessite pas de réponse</v>
      </c>
    </row>
    <row r="28" spans="1:23">
      <c r="A28" s="11">
        <v>12</v>
      </c>
      <c r="B28" s="12">
        <v>46029</v>
      </c>
      <c r="C28" s="13" t="s">
        <v>95</v>
      </c>
      <c r="D28" s="13" t="s">
        <v>96</v>
      </c>
      <c r="E28" s="13"/>
      <c r="F28" s="13" t="s">
        <v>97</v>
      </c>
      <c r="G28" s="11" t="s">
        <v>39</v>
      </c>
      <c r="H28" s="11">
        <f>IFERROR(VLOOKUP(G28,Paramètres!$B$6:$F$8,2,FALSE()),"")</f>
        <v>5</v>
      </c>
      <c r="I28" s="13" t="s">
        <v>98</v>
      </c>
      <c r="J28" s="11" t="s">
        <v>41</v>
      </c>
      <c r="K28" s="12">
        <v>46030</v>
      </c>
      <c r="L28" s="12">
        <v>46030</v>
      </c>
      <c r="M28" s="13" t="s">
        <v>49</v>
      </c>
      <c r="N28" s="14" t="s">
        <v>43</v>
      </c>
      <c r="O28" s="12">
        <v>46035</v>
      </c>
      <c r="P28" s="11">
        <f t="shared" si="0"/>
        <v>6</v>
      </c>
      <c r="Q28" s="11" t="str">
        <f t="shared" ca="1" si="1"/>
        <v>-</v>
      </c>
      <c r="R28" s="11">
        <f>IFERROR(VLOOKUP(G28,Paramètres!$B$6:$F$8,3,FALSE()),"")</f>
        <v>2</v>
      </c>
      <c r="S28" s="11" t="str">
        <f t="shared" ca="1" si="2"/>
        <v>-</v>
      </c>
      <c r="T28" s="12">
        <v>46036</v>
      </c>
      <c r="U28" s="11">
        <f t="shared" si="3"/>
        <v>1</v>
      </c>
      <c r="V28" s="11">
        <f t="shared" si="4"/>
        <v>0</v>
      </c>
      <c r="W28" s="11" t="str">
        <f t="shared" si="5"/>
        <v>Dans les délais</v>
      </c>
    </row>
    <row r="29" spans="1:23" ht="28.5">
      <c r="A29" s="11">
        <v>13</v>
      </c>
      <c r="B29" s="12">
        <v>46030</v>
      </c>
      <c r="C29" s="13" t="s">
        <v>99</v>
      </c>
      <c r="D29" s="13" t="s">
        <v>100</v>
      </c>
      <c r="E29" s="13"/>
      <c r="F29" s="13" t="s">
        <v>101</v>
      </c>
      <c r="G29" s="11" t="s">
        <v>39</v>
      </c>
      <c r="H29" s="11">
        <f>IFERROR(VLOOKUP(G29,Paramètres!$B$6:$F$8,2,FALSE()),"")</f>
        <v>5</v>
      </c>
      <c r="I29" s="13" t="s">
        <v>94</v>
      </c>
      <c r="J29" s="11" t="s">
        <v>55</v>
      </c>
      <c r="K29" s="12">
        <v>46031</v>
      </c>
      <c r="L29" s="12">
        <v>46034</v>
      </c>
      <c r="M29" s="13" t="s">
        <v>75</v>
      </c>
      <c r="N29" s="14" t="s">
        <v>102</v>
      </c>
      <c r="O29" s="12">
        <v>46036</v>
      </c>
      <c r="P29" s="11">
        <f t="shared" si="0"/>
        <v>6</v>
      </c>
      <c r="Q29" s="11" t="str">
        <f t="shared" ca="1" si="1"/>
        <v>-</v>
      </c>
      <c r="R29" s="11">
        <f>IFERROR(VLOOKUP(G29,Paramètres!$B$6:$F$8,3,FALSE()),"")</f>
        <v>2</v>
      </c>
      <c r="S29" s="11" t="str">
        <f t="shared" ca="1" si="2"/>
        <v>-</v>
      </c>
      <c r="T29" s="12">
        <v>46038</v>
      </c>
      <c r="U29" s="11">
        <f t="shared" si="3"/>
        <v>2</v>
      </c>
      <c r="V29" s="11">
        <f t="shared" si="4"/>
        <v>1</v>
      </c>
      <c r="W29" s="11" t="str">
        <f t="shared" si="5"/>
        <v>Hors délais</v>
      </c>
    </row>
    <row r="30" spans="1:23">
      <c r="A30" s="11">
        <v>14</v>
      </c>
      <c r="B30" s="12">
        <v>46030</v>
      </c>
      <c r="C30" s="13" t="s">
        <v>103</v>
      </c>
      <c r="D30" s="13" t="s">
        <v>104</v>
      </c>
      <c r="E30" s="13"/>
      <c r="F30" s="13" t="s">
        <v>105</v>
      </c>
      <c r="G30" s="11" t="s">
        <v>39</v>
      </c>
      <c r="H30" s="11">
        <f>IFERROR(VLOOKUP(G30,Paramètres!$B$6:$F$8,2,FALSE()),"")</f>
        <v>5</v>
      </c>
      <c r="I30" s="13" t="s">
        <v>40</v>
      </c>
      <c r="J30" s="11" t="s">
        <v>41</v>
      </c>
      <c r="K30" s="12">
        <v>46031</v>
      </c>
      <c r="L30" s="12">
        <v>46031</v>
      </c>
      <c r="M30" s="13" t="s">
        <v>61</v>
      </c>
      <c r="N30" s="14" t="s">
        <v>87</v>
      </c>
      <c r="O30" s="12">
        <v>46034</v>
      </c>
      <c r="P30" s="11">
        <f t="shared" si="0"/>
        <v>4</v>
      </c>
      <c r="Q30" s="11" t="str">
        <f t="shared" ca="1" si="1"/>
        <v>-</v>
      </c>
      <c r="R30" s="11">
        <f>IFERROR(VLOOKUP(G30,Paramètres!$B$6:$F$8,3,FALSE()),"")</f>
        <v>2</v>
      </c>
      <c r="S30" s="11" t="str">
        <f t="shared" ca="1" si="2"/>
        <v>-</v>
      </c>
      <c r="T30" s="12">
        <v>46035</v>
      </c>
      <c r="U30" s="11">
        <f t="shared" si="3"/>
        <v>1</v>
      </c>
      <c r="V30" s="11">
        <f t="shared" si="4"/>
        <v>-2</v>
      </c>
      <c r="W30" s="11" t="str">
        <f t="shared" si="5"/>
        <v>Dans les délais</v>
      </c>
    </row>
    <row r="31" spans="1:23">
      <c r="A31" s="11">
        <v>15</v>
      </c>
      <c r="B31" s="12">
        <v>46030</v>
      </c>
      <c r="C31" s="13" t="s">
        <v>106</v>
      </c>
      <c r="D31" s="13" t="s">
        <v>37</v>
      </c>
      <c r="E31" s="13"/>
      <c r="F31" s="13" t="s">
        <v>107</v>
      </c>
      <c r="G31" s="11" t="s">
        <v>39</v>
      </c>
      <c r="H31" s="11">
        <f>IFERROR(VLOOKUP(G31,Paramètres!$B$6:$F$8,2,FALSE()),"")</f>
        <v>5</v>
      </c>
      <c r="I31" s="13" t="s">
        <v>108</v>
      </c>
      <c r="J31" s="11" t="s">
        <v>55</v>
      </c>
      <c r="K31" s="12">
        <v>46030</v>
      </c>
      <c r="L31" s="12">
        <v>46030</v>
      </c>
      <c r="M31" s="13" t="s">
        <v>49</v>
      </c>
      <c r="N31" s="14" t="s">
        <v>102</v>
      </c>
      <c r="O31" s="12">
        <v>46041</v>
      </c>
      <c r="P31" s="11">
        <f t="shared" si="0"/>
        <v>11</v>
      </c>
      <c r="Q31" s="11" t="str">
        <f t="shared" ca="1" si="1"/>
        <v>-</v>
      </c>
      <c r="R31" s="11">
        <f>IFERROR(VLOOKUP(G31,Paramètres!$B$6:$F$8,3,FALSE()),"")</f>
        <v>2</v>
      </c>
      <c r="S31" s="11" t="str">
        <f t="shared" ca="1" si="2"/>
        <v>-</v>
      </c>
      <c r="T31" s="12">
        <v>46043</v>
      </c>
      <c r="U31" s="11">
        <f t="shared" si="3"/>
        <v>2</v>
      </c>
      <c r="V31" s="11">
        <f t="shared" si="4"/>
        <v>6</v>
      </c>
      <c r="W31" s="11" t="str">
        <f t="shared" si="5"/>
        <v>Hors délais</v>
      </c>
    </row>
    <row r="32" spans="1:23">
      <c r="A32" s="11">
        <v>16</v>
      </c>
      <c r="B32" s="12">
        <v>46030</v>
      </c>
      <c r="C32" s="13" t="s">
        <v>109</v>
      </c>
      <c r="D32" s="13" t="s">
        <v>37</v>
      </c>
      <c r="E32" s="13" t="s">
        <v>110</v>
      </c>
      <c r="F32" s="13" t="s">
        <v>111</v>
      </c>
      <c r="G32" s="11" t="s">
        <v>53</v>
      </c>
      <c r="H32" s="11" t="str">
        <f>IFERROR(VLOOKUP(G32,Paramètres!$B$6:$F$8,2,FALSE()),"")</f>
        <v>N/A</v>
      </c>
      <c r="I32" s="13" t="s">
        <v>108</v>
      </c>
      <c r="J32" s="11" t="s">
        <v>55</v>
      </c>
      <c r="K32" s="12">
        <v>46030</v>
      </c>
      <c r="L32" s="12">
        <v>46030</v>
      </c>
      <c r="M32" s="13" t="s">
        <v>56</v>
      </c>
      <c r="N32" s="14" t="s">
        <v>102</v>
      </c>
      <c r="O32" s="12"/>
      <c r="P32" s="11" t="str">
        <f t="shared" si="0"/>
        <v>-</v>
      </c>
      <c r="Q32" s="11" t="str">
        <f t="shared" ca="1" si="1"/>
        <v>-</v>
      </c>
      <c r="R32" s="11" t="str">
        <f>IFERROR(VLOOKUP(G32,Paramètres!$B$6:$F$8,3,FALSE()),"")</f>
        <v>N/A</v>
      </c>
      <c r="S32" s="11" t="str">
        <f t="shared" ca="1" si="2"/>
        <v>-</v>
      </c>
      <c r="T32" s="12"/>
      <c r="U32" s="11" t="str">
        <f t="shared" si="3"/>
        <v>-</v>
      </c>
      <c r="V32" s="11" t="str">
        <f t="shared" si="4"/>
        <v>-</v>
      </c>
      <c r="W32" s="11" t="str">
        <f t="shared" si="5"/>
        <v>Ne nécessite pas de réponse</v>
      </c>
    </row>
    <row r="33" spans="1:23" ht="28.5">
      <c r="A33" s="11">
        <v>17</v>
      </c>
      <c r="B33" s="12">
        <v>46034</v>
      </c>
      <c r="C33" s="13" t="s">
        <v>112</v>
      </c>
      <c r="D33" s="13" t="s">
        <v>81</v>
      </c>
      <c r="E33" s="13"/>
      <c r="F33" s="13" t="s">
        <v>113</v>
      </c>
      <c r="G33" s="11" t="s">
        <v>53</v>
      </c>
      <c r="H33" s="11" t="str">
        <f>IFERROR(VLOOKUP(G33,Paramètres!$B$6:$F$8,2,FALSE()),"")</f>
        <v>N/A</v>
      </c>
      <c r="I33" s="13" t="s">
        <v>108</v>
      </c>
      <c r="J33" s="11" t="s">
        <v>55</v>
      </c>
      <c r="K33" s="12">
        <v>46034</v>
      </c>
      <c r="L33" s="12">
        <v>46034</v>
      </c>
      <c r="M33" s="13" t="s">
        <v>75</v>
      </c>
      <c r="N33" s="14" t="s">
        <v>57</v>
      </c>
      <c r="O33" s="12"/>
      <c r="P33" s="11" t="str">
        <f t="shared" si="0"/>
        <v>-</v>
      </c>
      <c r="Q33" s="11" t="str">
        <f t="shared" ca="1" si="1"/>
        <v>-</v>
      </c>
      <c r="R33" s="11" t="str">
        <f>IFERROR(VLOOKUP(G33,Paramètres!$B$6:$F$8,3,FALSE()),"")</f>
        <v>N/A</v>
      </c>
      <c r="S33" s="11" t="str">
        <f t="shared" ca="1" si="2"/>
        <v>-</v>
      </c>
      <c r="T33" s="12"/>
      <c r="U33" s="11" t="str">
        <f t="shared" si="3"/>
        <v>-</v>
      </c>
      <c r="V33" s="11" t="str">
        <f t="shared" si="4"/>
        <v>-</v>
      </c>
      <c r="W33" s="11" t="str">
        <f t="shared" si="5"/>
        <v>Ne nécessite pas de réponse</v>
      </c>
    </row>
    <row r="34" spans="1:23">
      <c r="A34" s="11">
        <v>18</v>
      </c>
      <c r="B34" s="12">
        <v>46034</v>
      </c>
      <c r="C34" s="13" t="s">
        <v>114</v>
      </c>
      <c r="D34" s="13" t="s">
        <v>115</v>
      </c>
      <c r="E34" s="13"/>
      <c r="F34" s="13" t="s">
        <v>116</v>
      </c>
      <c r="G34" s="11" t="s">
        <v>39</v>
      </c>
      <c r="H34" s="11">
        <f>IFERROR(VLOOKUP(G34,Paramètres!$B$6:$F$8,2,FALSE()),"")</f>
        <v>5</v>
      </c>
      <c r="I34" s="13" t="s">
        <v>74</v>
      </c>
      <c r="J34" s="11" t="s">
        <v>41</v>
      </c>
      <c r="K34" s="12">
        <v>46035</v>
      </c>
      <c r="L34" s="12">
        <v>46035</v>
      </c>
      <c r="M34" s="13" t="s">
        <v>61</v>
      </c>
      <c r="N34" s="14" t="s">
        <v>87</v>
      </c>
      <c r="O34" s="12">
        <v>46041</v>
      </c>
      <c r="P34" s="11">
        <f t="shared" si="0"/>
        <v>7</v>
      </c>
      <c r="Q34" s="11" t="str">
        <f t="shared" ca="1" si="1"/>
        <v>-</v>
      </c>
      <c r="R34" s="11">
        <f>IFERROR(VLOOKUP(G34,Paramètres!$B$6:$F$8,3,FALSE()),"")</f>
        <v>2</v>
      </c>
      <c r="S34" s="11" t="str">
        <f t="shared" ca="1" si="2"/>
        <v>-</v>
      </c>
      <c r="T34" s="12">
        <v>46042</v>
      </c>
      <c r="U34" s="11">
        <f t="shared" si="3"/>
        <v>1</v>
      </c>
      <c r="V34" s="11">
        <f t="shared" si="4"/>
        <v>1</v>
      </c>
      <c r="W34" s="11" t="str">
        <f t="shared" si="5"/>
        <v>Hors délais</v>
      </c>
    </row>
    <row r="35" spans="1:23">
      <c r="A35" s="11">
        <v>19</v>
      </c>
      <c r="B35" s="12">
        <v>46034</v>
      </c>
      <c r="C35" s="13" t="s">
        <v>117</v>
      </c>
      <c r="D35" s="13" t="s">
        <v>118</v>
      </c>
      <c r="E35" s="13"/>
      <c r="F35" s="13" t="s">
        <v>119</v>
      </c>
      <c r="G35" s="11" t="s">
        <v>84</v>
      </c>
      <c r="H35" s="11">
        <f>IFERROR(VLOOKUP(G35,Paramètres!$B$6:$F$8,2,FALSE()),"")</f>
        <v>5</v>
      </c>
      <c r="I35" s="13" t="s">
        <v>120</v>
      </c>
      <c r="J35" s="11" t="s">
        <v>48</v>
      </c>
      <c r="K35" s="12">
        <v>46035</v>
      </c>
      <c r="L35" s="12">
        <v>46035</v>
      </c>
      <c r="M35" s="13" t="s">
        <v>49</v>
      </c>
      <c r="N35" s="14" t="s">
        <v>121</v>
      </c>
      <c r="O35" s="12">
        <v>46038</v>
      </c>
      <c r="P35" s="11">
        <f t="shared" si="0"/>
        <v>4</v>
      </c>
      <c r="Q35" s="11" t="str">
        <f t="shared" ca="1" si="1"/>
        <v>-</v>
      </c>
      <c r="R35" s="11">
        <f>IFERROR(VLOOKUP(G35,Paramètres!$B$6:$F$8,3,FALSE()),"")</f>
        <v>2</v>
      </c>
      <c r="S35" s="11" t="str">
        <f t="shared" ca="1" si="2"/>
        <v>-</v>
      </c>
      <c r="T35" s="12">
        <v>46042</v>
      </c>
      <c r="U35" s="11">
        <f t="shared" si="3"/>
        <v>4</v>
      </c>
      <c r="V35" s="11">
        <f t="shared" si="4"/>
        <v>1</v>
      </c>
      <c r="W35" s="11" t="str">
        <f t="shared" si="5"/>
        <v>Hors délais</v>
      </c>
    </row>
    <row r="36" spans="1:23">
      <c r="A36" s="11">
        <v>20</v>
      </c>
      <c r="B36" s="12">
        <v>46034</v>
      </c>
      <c r="C36" s="13" t="s">
        <v>122</v>
      </c>
      <c r="D36" s="13" t="s">
        <v>123</v>
      </c>
      <c r="E36" s="13"/>
      <c r="F36" s="13" t="s">
        <v>124</v>
      </c>
      <c r="G36" s="11" t="s">
        <v>39</v>
      </c>
      <c r="H36" s="11">
        <f>IFERROR(VLOOKUP(G36,Paramètres!$B$6:$F$8,2,FALSE()),"")</f>
        <v>5</v>
      </c>
      <c r="I36" s="13" t="s">
        <v>71</v>
      </c>
      <c r="J36" s="11" t="s">
        <v>41</v>
      </c>
      <c r="K36" s="12">
        <v>46034</v>
      </c>
      <c r="L36" s="12">
        <v>46034</v>
      </c>
      <c r="M36" s="13"/>
      <c r="N36" s="14" t="s">
        <v>87</v>
      </c>
      <c r="O36" s="12">
        <v>46045</v>
      </c>
      <c r="P36" s="11">
        <f t="shared" si="0"/>
        <v>11</v>
      </c>
      <c r="Q36" s="11" t="str">
        <f t="shared" ca="1" si="1"/>
        <v>-</v>
      </c>
      <c r="R36" s="11">
        <f>IFERROR(VLOOKUP(G36,Paramètres!$B$6:$F$8,3,FALSE()),"")</f>
        <v>2</v>
      </c>
      <c r="S36" s="11" t="str">
        <f t="shared" ca="1" si="2"/>
        <v>-</v>
      </c>
      <c r="T36" s="12">
        <v>46049</v>
      </c>
      <c r="U36" s="11">
        <f t="shared" si="3"/>
        <v>4</v>
      </c>
      <c r="V36" s="11">
        <f t="shared" si="4"/>
        <v>8</v>
      </c>
      <c r="W36" s="11" t="str">
        <f t="shared" si="5"/>
        <v>Hors délais</v>
      </c>
    </row>
    <row r="37" spans="1:23">
      <c r="A37" s="11">
        <v>21</v>
      </c>
      <c r="B37" s="12">
        <v>46035</v>
      </c>
      <c r="C37" s="13" t="s">
        <v>125</v>
      </c>
      <c r="D37" s="13" t="s">
        <v>123</v>
      </c>
      <c r="E37" s="13" t="s">
        <v>126</v>
      </c>
      <c r="F37" s="13" t="s">
        <v>127</v>
      </c>
      <c r="G37" s="11" t="s">
        <v>39</v>
      </c>
      <c r="H37" s="11">
        <f>IFERROR(VLOOKUP(G37,Paramètres!$B$6:$F$8,2,FALSE()),"")</f>
        <v>5</v>
      </c>
      <c r="I37" s="13" t="s">
        <v>98</v>
      </c>
      <c r="J37" s="11" t="s">
        <v>41</v>
      </c>
      <c r="K37" s="12">
        <v>46036</v>
      </c>
      <c r="L37" s="12">
        <v>46037</v>
      </c>
      <c r="M37" s="13" t="s">
        <v>61</v>
      </c>
      <c r="N37" s="14" t="s">
        <v>76</v>
      </c>
      <c r="O37" s="12">
        <v>46041</v>
      </c>
      <c r="P37" s="11">
        <f t="shared" si="0"/>
        <v>6</v>
      </c>
      <c r="Q37" s="11" t="str">
        <f t="shared" ca="1" si="1"/>
        <v>-</v>
      </c>
      <c r="R37" s="11">
        <f>IFERROR(VLOOKUP(G37,Paramètres!$B$6:$F$8,3,FALSE()),"")</f>
        <v>2</v>
      </c>
      <c r="S37" s="11" t="str">
        <f t="shared" ca="1" si="2"/>
        <v>-</v>
      </c>
      <c r="T37" s="12">
        <v>46044</v>
      </c>
      <c r="U37" s="11">
        <f t="shared" si="3"/>
        <v>3</v>
      </c>
      <c r="V37" s="11">
        <f t="shared" si="4"/>
        <v>2</v>
      </c>
      <c r="W37" s="11" t="str">
        <f t="shared" si="5"/>
        <v>Hors délais</v>
      </c>
    </row>
    <row r="38" spans="1:23">
      <c r="A38" s="11">
        <v>22</v>
      </c>
      <c r="B38" s="12">
        <v>46036</v>
      </c>
      <c r="C38" s="13" t="s">
        <v>128</v>
      </c>
      <c r="D38" s="13" t="s">
        <v>59</v>
      </c>
      <c r="E38" s="13"/>
      <c r="F38" s="13" t="s">
        <v>129</v>
      </c>
      <c r="G38" s="11" t="s">
        <v>39</v>
      </c>
      <c r="H38" s="11">
        <f>IFERROR(VLOOKUP(G38,Paramètres!$B$6:$F$8,2,FALSE()),"")</f>
        <v>5</v>
      </c>
      <c r="I38" s="13" t="s">
        <v>130</v>
      </c>
      <c r="J38" s="11" t="s">
        <v>48</v>
      </c>
      <c r="K38" s="12">
        <v>46036</v>
      </c>
      <c r="L38" s="12">
        <v>46036</v>
      </c>
      <c r="M38" s="13"/>
      <c r="N38" s="14" t="s">
        <v>50</v>
      </c>
      <c r="O38" s="12">
        <v>46042</v>
      </c>
      <c r="P38" s="11">
        <f t="shared" si="0"/>
        <v>6</v>
      </c>
      <c r="Q38" s="11" t="str">
        <f t="shared" ca="1" si="1"/>
        <v>-</v>
      </c>
      <c r="R38" s="11">
        <f>IFERROR(VLOOKUP(G38,Paramètres!$B$6:$F$8,3,FALSE()),"")</f>
        <v>2</v>
      </c>
      <c r="S38" s="11" t="str">
        <f t="shared" ca="1" si="2"/>
        <v>-</v>
      </c>
      <c r="T38" s="12">
        <v>46045</v>
      </c>
      <c r="U38" s="11">
        <f t="shared" si="3"/>
        <v>3</v>
      </c>
      <c r="V38" s="11">
        <f t="shared" si="4"/>
        <v>2</v>
      </c>
      <c r="W38" s="11" t="str">
        <f t="shared" si="5"/>
        <v>Hors délais</v>
      </c>
    </row>
    <row r="39" spans="1:23">
      <c r="A39" s="11">
        <v>23</v>
      </c>
      <c r="B39" s="12">
        <v>46036</v>
      </c>
      <c r="C39" s="13" t="s">
        <v>131</v>
      </c>
      <c r="D39" s="13" t="s">
        <v>89</v>
      </c>
      <c r="E39" s="13" t="s">
        <v>132</v>
      </c>
      <c r="F39" s="13" t="s">
        <v>133</v>
      </c>
      <c r="G39" s="11" t="s">
        <v>39</v>
      </c>
      <c r="H39" s="11">
        <f>IFERROR(VLOOKUP(G39,Paramètres!$B$6:$F$8,2,FALSE()),"")</f>
        <v>5</v>
      </c>
      <c r="I39" s="13" t="s">
        <v>85</v>
      </c>
      <c r="J39" s="11" t="s">
        <v>41</v>
      </c>
      <c r="K39" s="12">
        <v>46036</v>
      </c>
      <c r="L39" s="12">
        <v>46036</v>
      </c>
      <c r="M39" s="13" t="s">
        <v>61</v>
      </c>
      <c r="N39" s="14" t="s">
        <v>43</v>
      </c>
      <c r="O39" s="12">
        <v>46043</v>
      </c>
      <c r="P39" s="11">
        <f t="shared" si="0"/>
        <v>7</v>
      </c>
      <c r="Q39" s="11" t="str">
        <f t="shared" ca="1" si="1"/>
        <v>-</v>
      </c>
      <c r="R39" s="11">
        <f>IFERROR(VLOOKUP(G39,Paramètres!$B$6:$F$8,3,FALSE()),"")</f>
        <v>2</v>
      </c>
      <c r="S39" s="11" t="str">
        <f t="shared" ca="1" si="2"/>
        <v>-</v>
      </c>
      <c r="T39" s="12">
        <v>46044</v>
      </c>
      <c r="U39" s="11">
        <f t="shared" si="3"/>
        <v>1</v>
      </c>
      <c r="V39" s="11">
        <f t="shared" si="4"/>
        <v>1</v>
      </c>
      <c r="W39" s="11" t="str">
        <f t="shared" si="5"/>
        <v>Hors délais</v>
      </c>
    </row>
    <row r="40" spans="1:23">
      <c r="A40" s="11">
        <v>24</v>
      </c>
      <c r="B40" s="12">
        <v>46036</v>
      </c>
      <c r="C40" s="13" t="s">
        <v>134</v>
      </c>
      <c r="D40" s="13" t="s">
        <v>59</v>
      </c>
      <c r="E40" s="13"/>
      <c r="F40" s="13" t="s">
        <v>135</v>
      </c>
      <c r="G40" s="11" t="s">
        <v>39</v>
      </c>
      <c r="H40" s="11">
        <f>IFERROR(VLOOKUP(G40,Paramètres!$B$6:$F$8,2,FALSE()),"")</f>
        <v>5</v>
      </c>
      <c r="I40" s="13" t="s">
        <v>71</v>
      </c>
      <c r="J40" s="11" t="s">
        <v>41</v>
      </c>
      <c r="K40" s="12">
        <v>46036</v>
      </c>
      <c r="L40" s="12">
        <v>46037</v>
      </c>
      <c r="M40" s="13" t="s">
        <v>42</v>
      </c>
      <c r="N40" s="14" t="s">
        <v>43</v>
      </c>
      <c r="O40" s="12">
        <v>46042</v>
      </c>
      <c r="P40" s="11">
        <f t="shared" si="0"/>
        <v>6</v>
      </c>
      <c r="Q40" s="11" t="str">
        <f t="shared" ca="1" si="1"/>
        <v>-</v>
      </c>
      <c r="R40" s="11">
        <f>IFERROR(VLOOKUP(G40,Paramètres!$B$6:$F$8,3,FALSE()),"")</f>
        <v>2</v>
      </c>
      <c r="S40" s="11" t="str">
        <f t="shared" ca="1" si="2"/>
        <v>-</v>
      </c>
      <c r="T40" s="12">
        <v>46049</v>
      </c>
      <c r="U40" s="11">
        <f t="shared" si="3"/>
        <v>7</v>
      </c>
      <c r="V40" s="11">
        <f t="shared" si="4"/>
        <v>6</v>
      </c>
      <c r="W40" s="11" t="str">
        <f t="shared" si="5"/>
        <v>Hors délais</v>
      </c>
    </row>
    <row r="41" spans="1:23">
      <c r="A41" s="11">
        <v>25</v>
      </c>
      <c r="B41" s="12">
        <v>46036</v>
      </c>
      <c r="C41" s="13" t="s">
        <v>136</v>
      </c>
      <c r="D41" s="13" t="s">
        <v>137</v>
      </c>
      <c r="E41" s="13"/>
      <c r="F41" s="13" t="s">
        <v>138</v>
      </c>
      <c r="G41" s="11" t="s">
        <v>84</v>
      </c>
      <c r="H41" s="11">
        <f>IFERROR(VLOOKUP(G41,Paramètres!$B$6:$F$8,2,FALSE()),"")</f>
        <v>5</v>
      </c>
      <c r="I41" s="13" t="s">
        <v>85</v>
      </c>
      <c r="J41" s="11" t="s">
        <v>41</v>
      </c>
      <c r="K41" s="12">
        <v>46037</v>
      </c>
      <c r="L41" s="12">
        <v>46038</v>
      </c>
      <c r="M41" s="13" t="s">
        <v>49</v>
      </c>
      <c r="N41" s="14" t="s">
        <v>43</v>
      </c>
      <c r="O41" s="12">
        <v>46043</v>
      </c>
      <c r="P41" s="11">
        <f t="shared" si="0"/>
        <v>7</v>
      </c>
      <c r="Q41" s="11" t="str">
        <f t="shared" ca="1" si="1"/>
        <v>-</v>
      </c>
      <c r="R41" s="11">
        <f>IFERROR(VLOOKUP(G41,Paramètres!$B$6:$F$8,3,FALSE()),"")</f>
        <v>2</v>
      </c>
      <c r="S41" s="11" t="str">
        <f t="shared" ca="1" si="2"/>
        <v>-</v>
      </c>
      <c r="T41" s="12">
        <v>46044</v>
      </c>
      <c r="U41" s="11">
        <f t="shared" si="3"/>
        <v>1</v>
      </c>
      <c r="V41" s="11">
        <f t="shared" si="4"/>
        <v>1</v>
      </c>
      <c r="W41" s="11" t="str">
        <f t="shared" si="5"/>
        <v>Hors délais</v>
      </c>
    </row>
    <row r="42" spans="1:23">
      <c r="A42" s="11">
        <v>26</v>
      </c>
      <c r="B42" s="12">
        <v>46036</v>
      </c>
      <c r="C42" s="13" t="s">
        <v>139</v>
      </c>
      <c r="D42" s="13" t="s">
        <v>59</v>
      </c>
      <c r="E42" s="13" t="s">
        <v>140</v>
      </c>
      <c r="F42" s="13" t="s">
        <v>141</v>
      </c>
      <c r="G42" s="11" t="s">
        <v>39</v>
      </c>
      <c r="H42" s="11">
        <f>IFERROR(VLOOKUP(G42,Paramètres!$B$6:$F$8,2,FALSE()),"")</f>
        <v>5</v>
      </c>
      <c r="I42" s="13" t="s">
        <v>71</v>
      </c>
      <c r="J42" s="11" t="s">
        <v>41</v>
      </c>
      <c r="K42" s="12">
        <v>46036</v>
      </c>
      <c r="L42" s="12">
        <v>46037</v>
      </c>
      <c r="M42" s="13" t="s">
        <v>56</v>
      </c>
      <c r="N42" s="14" t="s">
        <v>87</v>
      </c>
      <c r="O42" s="12">
        <v>46041</v>
      </c>
      <c r="P42" s="11">
        <f t="shared" si="0"/>
        <v>5</v>
      </c>
      <c r="Q42" s="11" t="str">
        <f t="shared" ca="1" si="1"/>
        <v>-</v>
      </c>
      <c r="R42" s="11">
        <f>IFERROR(VLOOKUP(G42,Paramètres!$B$6:$F$8,3,FALSE()),"")</f>
        <v>2</v>
      </c>
      <c r="S42" s="11" t="str">
        <f t="shared" ca="1" si="2"/>
        <v>-</v>
      </c>
      <c r="T42" s="12">
        <v>46042</v>
      </c>
      <c r="U42" s="11">
        <f t="shared" si="3"/>
        <v>1</v>
      </c>
      <c r="V42" s="11">
        <f t="shared" si="4"/>
        <v>-1</v>
      </c>
      <c r="W42" s="11" t="str">
        <f t="shared" si="5"/>
        <v>Dans les délais</v>
      </c>
    </row>
    <row r="43" spans="1:23">
      <c r="A43" s="11">
        <v>27</v>
      </c>
      <c r="B43" s="12">
        <v>46036</v>
      </c>
      <c r="C43" s="13" t="s">
        <v>142</v>
      </c>
      <c r="D43" s="13" t="s">
        <v>68</v>
      </c>
      <c r="E43" s="13"/>
      <c r="F43" s="13" t="s">
        <v>143</v>
      </c>
      <c r="G43" s="11" t="s">
        <v>39</v>
      </c>
      <c r="H43" s="11">
        <f>IFERROR(VLOOKUP(G43,Paramètres!$B$6:$F$8,2,FALSE()),"")</f>
        <v>5</v>
      </c>
      <c r="I43" s="13" t="s">
        <v>40</v>
      </c>
      <c r="J43" s="11" t="s">
        <v>41</v>
      </c>
      <c r="K43" s="12">
        <v>46037</v>
      </c>
      <c r="L43" s="12">
        <v>46037</v>
      </c>
      <c r="M43" s="13"/>
      <c r="N43" s="14" t="s">
        <v>87</v>
      </c>
      <c r="O43" s="12">
        <v>46045</v>
      </c>
      <c r="P43" s="11">
        <f t="shared" si="0"/>
        <v>9</v>
      </c>
      <c r="Q43" s="11" t="str">
        <f t="shared" ca="1" si="1"/>
        <v>-</v>
      </c>
      <c r="R43" s="11">
        <f>IFERROR(VLOOKUP(G43,Paramètres!$B$6:$F$8,3,FALSE()),"")</f>
        <v>2</v>
      </c>
      <c r="S43" s="11" t="str">
        <f t="shared" ca="1" si="2"/>
        <v>-</v>
      </c>
      <c r="T43" s="12">
        <v>46048</v>
      </c>
      <c r="U43" s="11">
        <f t="shared" si="3"/>
        <v>3</v>
      </c>
      <c r="V43" s="11">
        <f t="shared" si="4"/>
        <v>5</v>
      </c>
      <c r="W43" s="11" t="str">
        <f t="shared" si="5"/>
        <v>Hors délais</v>
      </c>
    </row>
    <row r="44" spans="1:23">
      <c r="A44" s="11">
        <v>28</v>
      </c>
      <c r="B44" s="12">
        <v>46037</v>
      </c>
      <c r="C44" s="13" t="s">
        <v>144</v>
      </c>
      <c r="D44" s="13" t="s">
        <v>145</v>
      </c>
      <c r="E44" s="13"/>
      <c r="F44" s="13" t="s">
        <v>146</v>
      </c>
      <c r="G44" s="11" t="s">
        <v>53</v>
      </c>
      <c r="H44" s="11" t="str">
        <f>IFERROR(VLOOKUP(G44,Paramètres!$B$6:$F$8,2,FALSE()),"")</f>
        <v>N/A</v>
      </c>
      <c r="I44" s="13" t="s">
        <v>120</v>
      </c>
      <c r="J44" s="11" t="s">
        <v>48</v>
      </c>
      <c r="K44" s="12">
        <v>46038</v>
      </c>
      <c r="L44" s="12">
        <v>46038</v>
      </c>
      <c r="M44" s="13" t="s">
        <v>56</v>
      </c>
      <c r="N44" s="14" t="s">
        <v>121</v>
      </c>
      <c r="O44" s="12"/>
      <c r="P44" s="11" t="str">
        <f t="shared" si="0"/>
        <v>-</v>
      </c>
      <c r="Q44" s="11" t="str">
        <f t="shared" ca="1" si="1"/>
        <v>-</v>
      </c>
      <c r="R44" s="11" t="str">
        <f>IFERROR(VLOOKUP(G44,Paramètres!$B$6:$F$8,3,FALSE()),"")</f>
        <v>N/A</v>
      </c>
      <c r="S44" s="11" t="str">
        <f t="shared" ca="1" si="2"/>
        <v>-</v>
      </c>
      <c r="T44" s="12"/>
      <c r="U44" s="11" t="str">
        <f t="shared" si="3"/>
        <v>-</v>
      </c>
      <c r="V44" s="11" t="str">
        <f t="shared" si="4"/>
        <v>-</v>
      </c>
      <c r="W44" s="11" t="str">
        <f t="shared" si="5"/>
        <v>Ne nécessite pas de réponse</v>
      </c>
    </row>
    <row r="45" spans="1:23">
      <c r="A45" s="11">
        <v>29</v>
      </c>
      <c r="B45" s="12">
        <v>46037</v>
      </c>
      <c r="C45" s="13" t="s">
        <v>147</v>
      </c>
      <c r="D45" s="13" t="s">
        <v>115</v>
      </c>
      <c r="E45" s="13"/>
      <c r="F45" s="13" t="s">
        <v>148</v>
      </c>
      <c r="G45" s="11" t="s">
        <v>39</v>
      </c>
      <c r="H45" s="11">
        <f>IFERROR(VLOOKUP(G45,Paramètres!$B$6:$F$8,2,FALSE()),"")</f>
        <v>5</v>
      </c>
      <c r="I45" s="13" t="s">
        <v>71</v>
      </c>
      <c r="J45" s="11" t="s">
        <v>41</v>
      </c>
      <c r="K45" s="12">
        <v>46038</v>
      </c>
      <c r="L45" s="12">
        <v>46038</v>
      </c>
      <c r="M45" s="13" t="s">
        <v>56</v>
      </c>
      <c r="N45" s="14" t="s">
        <v>87</v>
      </c>
      <c r="O45" s="12">
        <v>46043</v>
      </c>
      <c r="P45" s="11">
        <f t="shared" si="0"/>
        <v>6</v>
      </c>
      <c r="Q45" s="11" t="str">
        <f t="shared" ca="1" si="1"/>
        <v>-</v>
      </c>
      <c r="R45" s="11">
        <f>IFERROR(VLOOKUP(G45,Paramètres!$B$6:$F$8,3,FALSE()),"")</f>
        <v>2</v>
      </c>
      <c r="S45" s="11" t="str">
        <f t="shared" ca="1" si="2"/>
        <v>-</v>
      </c>
      <c r="T45" s="12">
        <v>46044</v>
      </c>
      <c r="U45" s="11">
        <f t="shared" si="3"/>
        <v>1</v>
      </c>
      <c r="V45" s="11">
        <f t="shared" si="4"/>
        <v>0</v>
      </c>
      <c r="W45" s="11" t="str">
        <f t="shared" si="5"/>
        <v>Dans les délais</v>
      </c>
    </row>
    <row r="46" spans="1:23">
      <c r="A46" s="11">
        <v>30</v>
      </c>
      <c r="B46" s="12">
        <v>46038</v>
      </c>
      <c r="C46" s="13" t="s">
        <v>149</v>
      </c>
      <c r="D46" s="13" t="s">
        <v>81</v>
      </c>
      <c r="E46" s="13"/>
      <c r="F46" s="13" t="s">
        <v>150</v>
      </c>
      <c r="G46" s="11" t="s">
        <v>39</v>
      </c>
      <c r="H46" s="11">
        <f>IFERROR(VLOOKUP(G46,Paramètres!$B$6:$F$8,2,FALSE()),"")</f>
        <v>5</v>
      </c>
      <c r="I46" s="13" t="s">
        <v>40</v>
      </c>
      <c r="J46" s="11" t="s">
        <v>41</v>
      </c>
      <c r="K46" s="12">
        <v>46041</v>
      </c>
      <c r="L46" s="12">
        <v>46041</v>
      </c>
      <c r="M46" s="13" t="s">
        <v>56</v>
      </c>
      <c r="N46" s="14" t="s">
        <v>43</v>
      </c>
      <c r="O46" s="12">
        <v>46051</v>
      </c>
      <c r="P46" s="11">
        <f t="shared" si="0"/>
        <v>13</v>
      </c>
      <c r="Q46" s="11" t="str">
        <f t="shared" ca="1" si="1"/>
        <v>-</v>
      </c>
      <c r="R46" s="11">
        <f>IFERROR(VLOOKUP(G46,Paramètres!$B$6:$F$8,3,FALSE()),"")</f>
        <v>2</v>
      </c>
      <c r="S46" s="11" t="str">
        <f t="shared" ca="1" si="2"/>
        <v>-</v>
      </c>
      <c r="T46" s="12">
        <v>46055</v>
      </c>
      <c r="U46" s="11">
        <f t="shared" si="3"/>
        <v>4</v>
      </c>
      <c r="V46" s="11">
        <f t="shared" si="4"/>
        <v>10</v>
      </c>
      <c r="W46" s="11" t="str">
        <f t="shared" si="5"/>
        <v>Hors délais</v>
      </c>
    </row>
    <row r="47" spans="1:23">
      <c r="A47" s="11">
        <v>31</v>
      </c>
      <c r="B47" s="12">
        <v>46038</v>
      </c>
      <c r="C47" s="13" t="s">
        <v>151</v>
      </c>
      <c r="D47" s="13" t="s">
        <v>115</v>
      </c>
      <c r="E47" s="13"/>
      <c r="F47" s="13" t="s">
        <v>152</v>
      </c>
      <c r="G47" s="11" t="s">
        <v>39</v>
      </c>
      <c r="H47" s="11">
        <f>IFERROR(VLOOKUP(G47,Paramètres!$B$6:$F$8,2,FALSE()),"")</f>
        <v>5</v>
      </c>
      <c r="I47" s="13" t="s">
        <v>71</v>
      </c>
      <c r="J47" s="11" t="s">
        <v>41</v>
      </c>
      <c r="K47" s="12">
        <v>46038</v>
      </c>
      <c r="L47" s="12">
        <v>46041</v>
      </c>
      <c r="M47" s="13"/>
      <c r="N47" s="14" t="s">
        <v>43</v>
      </c>
      <c r="O47" s="12">
        <v>46048</v>
      </c>
      <c r="P47" s="11">
        <f t="shared" si="0"/>
        <v>10</v>
      </c>
      <c r="Q47" s="11" t="str">
        <f t="shared" ca="1" si="1"/>
        <v>-</v>
      </c>
      <c r="R47" s="11">
        <f>IFERROR(VLOOKUP(G47,Paramètres!$B$6:$F$8,3,FALSE()),"")</f>
        <v>2</v>
      </c>
      <c r="S47" s="11" t="str">
        <f t="shared" ca="1" si="2"/>
        <v>-</v>
      </c>
      <c r="T47" s="12">
        <v>46048</v>
      </c>
      <c r="U47" s="11">
        <f t="shared" si="3"/>
        <v>0</v>
      </c>
      <c r="V47" s="11">
        <f t="shared" si="4"/>
        <v>3</v>
      </c>
      <c r="W47" s="11" t="str">
        <f t="shared" si="5"/>
        <v>Hors délais</v>
      </c>
    </row>
    <row r="48" spans="1:23">
      <c r="A48" s="11">
        <v>32</v>
      </c>
      <c r="B48" s="12">
        <v>46041</v>
      </c>
      <c r="C48" s="13" t="s">
        <v>153</v>
      </c>
      <c r="D48" s="13" t="s">
        <v>137</v>
      </c>
      <c r="E48" s="13"/>
      <c r="F48" s="13" t="s">
        <v>154</v>
      </c>
      <c r="G48" s="11" t="s">
        <v>53</v>
      </c>
      <c r="H48" s="11" t="str">
        <f>IFERROR(VLOOKUP(G48,Paramètres!$B$6:$F$8,2,FALSE()),"")</f>
        <v>N/A</v>
      </c>
      <c r="I48" s="13" t="s">
        <v>155</v>
      </c>
      <c r="J48" s="11" t="s">
        <v>48</v>
      </c>
      <c r="K48" s="12">
        <v>46041</v>
      </c>
      <c r="L48" s="12">
        <v>46041</v>
      </c>
      <c r="M48" s="13"/>
      <c r="N48" s="14" t="s">
        <v>50</v>
      </c>
      <c r="O48" s="12"/>
      <c r="P48" s="11" t="str">
        <f t="shared" si="0"/>
        <v>-</v>
      </c>
      <c r="Q48" s="11" t="str">
        <f t="shared" ca="1" si="1"/>
        <v>-</v>
      </c>
      <c r="R48" s="11" t="str">
        <f>IFERROR(VLOOKUP(G48,Paramètres!$B$6:$F$8,3,FALSE()),"")</f>
        <v>N/A</v>
      </c>
      <c r="S48" s="11" t="str">
        <f t="shared" ca="1" si="2"/>
        <v>-</v>
      </c>
      <c r="T48" s="12"/>
      <c r="U48" s="11" t="str">
        <f t="shared" si="3"/>
        <v>-</v>
      </c>
      <c r="V48" s="11" t="str">
        <f t="shared" si="4"/>
        <v>-</v>
      </c>
      <c r="W48" s="11" t="str">
        <f t="shared" si="5"/>
        <v>Ne nécessite pas de réponse</v>
      </c>
    </row>
    <row r="49" spans="1:23">
      <c r="A49" s="11">
        <v>33</v>
      </c>
      <c r="B49" s="12">
        <v>46041</v>
      </c>
      <c r="C49" s="13" t="s">
        <v>156</v>
      </c>
      <c r="D49" s="13" t="s">
        <v>100</v>
      </c>
      <c r="E49" s="13" t="s">
        <v>157</v>
      </c>
      <c r="F49" s="13" t="s">
        <v>158</v>
      </c>
      <c r="G49" s="11" t="s">
        <v>39</v>
      </c>
      <c r="H49" s="11">
        <f>IFERROR(VLOOKUP(G49,Paramètres!$B$6:$F$8,2,FALSE()),"")</f>
        <v>5</v>
      </c>
      <c r="I49" s="13" t="s">
        <v>40</v>
      </c>
      <c r="J49" s="11" t="s">
        <v>41</v>
      </c>
      <c r="K49" s="12">
        <v>46042</v>
      </c>
      <c r="L49" s="12">
        <v>46042</v>
      </c>
      <c r="M49" s="13" t="s">
        <v>56</v>
      </c>
      <c r="N49" s="14" t="s">
        <v>76</v>
      </c>
      <c r="O49" s="12">
        <v>46045</v>
      </c>
      <c r="P49" s="11">
        <f t="shared" si="0"/>
        <v>4</v>
      </c>
      <c r="Q49" s="11" t="str">
        <f t="shared" ca="1" si="1"/>
        <v>-</v>
      </c>
      <c r="R49" s="11">
        <f>IFERROR(VLOOKUP(G49,Paramètres!$B$6:$F$8,3,FALSE()),"")</f>
        <v>2</v>
      </c>
      <c r="S49" s="11" t="str">
        <f t="shared" ca="1" si="2"/>
        <v>-</v>
      </c>
      <c r="T49" s="12">
        <v>46048</v>
      </c>
      <c r="U49" s="11">
        <f t="shared" si="3"/>
        <v>3</v>
      </c>
      <c r="V49" s="11">
        <f t="shared" si="4"/>
        <v>0</v>
      </c>
      <c r="W49" s="11" t="str">
        <f t="shared" si="5"/>
        <v>Dans les délais</v>
      </c>
    </row>
    <row r="50" spans="1:23">
      <c r="A50" s="11">
        <v>34</v>
      </c>
      <c r="B50" s="12">
        <v>46041</v>
      </c>
      <c r="C50" s="13" t="s">
        <v>159</v>
      </c>
      <c r="D50" s="13" t="s">
        <v>63</v>
      </c>
      <c r="E50" s="13"/>
      <c r="F50" s="13" t="s">
        <v>160</v>
      </c>
      <c r="G50" s="11" t="s">
        <v>39</v>
      </c>
      <c r="H50" s="11">
        <f>IFERROR(VLOOKUP(G50,Paramètres!$B$6:$F$8,2,FALSE()),"")</f>
        <v>5</v>
      </c>
      <c r="I50" s="13" t="s">
        <v>74</v>
      </c>
      <c r="J50" s="11" t="s">
        <v>41</v>
      </c>
      <c r="K50" s="12">
        <v>46041</v>
      </c>
      <c r="L50" s="12">
        <v>46041</v>
      </c>
      <c r="M50" s="13" t="s">
        <v>61</v>
      </c>
      <c r="N50" s="14" t="s">
        <v>87</v>
      </c>
      <c r="O50" s="12">
        <v>46044</v>
      </c>
      <c r="P50" s="11">
        <f t="shared" si="0"/>
        <v>3</v>
      </c>
      <c r="Q50" s="11" t="str">
        <f t="shared" ca="1" si="1"/>
        <v>-</v>
      </c>
      <c r="R50" s="11">
        <f>IFERROR(VLOOKUP(G50,Paramètres!$B$6:$F$8,3,FALSE()),"")</f>
        <v>2</v>
      </c>
      <c r="S50" s="11" t="str">
        <f t="shared" ca="1" si="2"/>
        <v>-</v>
      </c>
      <c r="T50" s="12">
        <v>46045</v>
      </c>
      <c r="U50" s="11">
        <f t="shared" si="3"/>
        <v>1</v>
      </c>
      <c r="V50" s="11">
        <f t="shared" si="4"/>
        <v>-3</v>
      </c>
      <c r="W50" s="11" t="str">
        <f t="shared" si="5"/>
        <v>Dans les délais</v>
      </c>
    </row>
    <row r="51" spans="1:23">
      <c r="A51" s="11">
        <v>35</v>
      </c>
      <c r="B51" s="12">
        <v>46041</v>
      </c>
      <c r="C51" s="13" t="s">
        <v>161</v>
      </c>
      <c r="D51" s="13" t="s">
        <v>96</v>
      </c>
      <c r="E51" s="13"/>
      <c r="F51" s="13" t="s">
        <v>162</v>
      </c>
      <c r="G51" s="11" t="s">
        <v>39</v>
      </c>
      <c r="H51" s="11">
        <f>IFERROR(VLOOKUP(G51,Paramètres!$B$6:$F$8,2,FALSE()),"")</f>
        <v>5</v>
      </c>
      <c r="I51" s="13" t="s">
        <v>130</v>
      </c>
      <c r="J51" s="11" t="s">
        <v>48</v>
      </c>
      <c r="K51" s="12">
        <v>46041</v>
      </c>
      <c r="L51" s="12">
        <v>46041</v>
      </c>
      <c r="M51" s="13" t="s">
        <v>49</v>
      </c>
      <c r="N51" s="14" t="s">
        <v>121</v>
      </c>
      <c r="O51" s="12">
        <v>46057</v>
      </c>
      <c r="P51" s="11">
        <f t="shared" si="0"/>
        <v>16</v>
      </c>
      <c r="Q51" s="11" t="str">
        <f t="shared" ca="1" si="1"/>
        <v>-</v>
      </c>
      <c r="R51" s="11">
        <f>IFERROR(VLOOKUP(G51,Paramètres!$B$6:$F$8,3,FALSE()),"")</f>
        <v>2</v>
      </c>
      <c r="S51" s="11" t="str">
        <f t="shared" ca="1" si="2"/>
        <v>-</v>
      </c>
      <c r="T51" s="12">
        <v>46057</v>
      </c>
      <c r="U51" s="11">
        <f t="shared" si="3"/>
        <v>0</v>
      </c>
      <c r="V51" s="11">
        <f t="shared" si="4"/>
        <v>9</v>
      </c>
      <c r="W51" s="11" t="str">
        <f t="shared" si="5"/>
        <v>Hors délais</v>
      </c>
    </row>
    <row r="52" spans="1:23">
      <c r="A52" s="11">
        <v>36</v>
      </c>
      <c r="B52" s="12">
        <v>46042</v>
      </c>
      <c r="C52" s="13" t="s">
        <v>163</v>
      </c>
      <c r="D52" s="13" t="s">
        <v>89</v>
      </c>
      <c r="E52" s="13"/>
      <c r="F52" s="13" t="s">
        <v>164</v>
      </c>
      <c r="G52" s="11" t="s">
        <v>53</v>
      </c>
      <c r="H52" s="11" t="str">
        <f>IFERROR(VLOOKUP(G52,Paramètres!$B$6:$F$8,2,FALSE()),"")</f>
        <v>N/A</v>
      </c>
      <c r="I52" s="13" t="s">
        <v>71</v>
      </c>
      <c r="J52" s="11" t="s">
        <v>41</v>
      </c>
      <c r="K52" s="12">
        <v>46042</v>
      </c>
      <c r="L52" s="12">
        <v>46042</v>
      </c>
      <c r="M52" s="13" t="s">
        <v>49</v>
      </c>
      <c r="N52" s="14" t="s">
        <v>43</v>
      </c>
      <c r="O52" s="12"/>
      <c r="P52" s="11" t="str">
        <f t="shared" si="0"/>
        <v>-</v>
      </c>
      <c r="Q52" s="11" t="str">
        <f t="shared" ca="1" si="1"/>
        <v>-</v>
      </c>
      <c r="R52" s="11" t="str">
        <f>IFERROR(VLOOKUP(G52,Paramètres!$B$6:$F$8,3,FALSE()),"")</f>
        <v>N/A</v>
      </c>
      <c r="S52" s="11" t="str">
        <f t="shared" ca="1" si="2"/>
        <v>-</v>
      </c>
      <c r="T52" s="12"/>
      <c r="U52" s="11" t="str">
        <f t="shared" si="3"/>
        <v>-</v>
      </c>
      <c r="V52" s="11" t="str">
        <f t="shared" si="4"/>
        <v>-</v>
      </c>
      <c r="W52" s="11" t="str">
        <f t="shared" si="5"/>
        <v>Ne nécessite pas de réponse</v>
      </c>
    </row>
    <row r="53" spans="1:23" ht="28.5">
      <c r="A53" s="11">
        <v>37</v>
      </c>
      <c r="B53" s="12">
        <v>46042</v>
      </c>
      <c r="C53" s="13" t="s">
        <v>165</v>
      </c>
      <c r="D53" s="13" t="s">
        <v>96</v>
      </c>
      <c r="E53" s="13" t="s">
        <v>166</v>
      </c>
      <c r="F53" s="13" t="s">
        <v>167</v>
      </c>
      <c r="G53" s="11" t="s">
        <v>84</v>
      </c>
      <c r="H53" s="11">
        <f>IFERROR(VLOOKUP(G53,Paramètres!$B$6:$F$8,2,FALSE()),"")</f>
        <v>5</v>
      </c>
      <c r="I53" s="13" t="s">
        <v>168</v>
      </c>
      <c r="J53" s="11" t="s">
        <v>48</v>
      </c>
      <c r="K53" s="12">
        <v>46042</v>
      </c>
      <c r="L53" s="12">
        <v>46043</v>
      </c>
      <c r="M53" s="13" t="s">
        <v>75</v>
      </c>
      <c r="N53" s="14" t="s">
        <v>50</v>
      </c>
      <c r="O53" s="12">
        <v>46051</v>
      </c>
      <c r="P53" s="11">
        <f t="shared" si="0"/>
        <v>9</v>
      </c>
      <c r="Q53" s="11" t="str">
        <f t="shared" ca="1" si="1"/>
        <v>-</v>
      </c>
      <c r="R53" s="11">
        <f>IFERROR(VLOOKUP(G53,Paramètres!$B$6:$F$8,3,FALSE()),"")</f>
        <v>2</v>
      </c>
      <c r="S53" s="11" t="str">
        <f t="shared" ca="1" si="2"/>
        <v>-</v>
      </c>
      <c r="T53" s="12">
        <v>46051</v>
      </c>
      <c r="U53" s="11">
        <f t="shared" si="3"/>
        <v>0</v>
      </c>
      <c r="V53" s="11">
        <f t="shared" si="4"/>
        <v>2</v>
      </c>
      <c r="W53" s="11" t="str">
        <f t="shared" si="5"/>
        <v>Hors délais</v>
      </c>
    </row>
    <row r="54" spans="1:23">
      <c r="A54" s="11">
        <v>38</v>
      </c>
      <c r="B54" s="12">
        <v>46042</v>
      </c>
      <c r="C54" s="13" t="s">
        <v>169</v>
      </c>
      <c r="D54" s="13" t="s">
        <v>63</v>
      </c>
      <c r="E54" s="13" t="s">
        <v>170</v>
      </c>
      <c r="F54" s="13" t="s">
        <v>171</v>
      </c>
      <c r="G54" s="11" t="s">
        <v>39</v>
      </c>
      <c r="H54" s="11">
        <f>IFERROR(VLOOKUP(G54,Paramètres!$B$6:$F$8,2,FALSE()),"")</f>
        <v>5</v>
      </c>
      <c r="I54" s="13" t="s">
        <v>91</v>
      </c>
      <c r="J54" s="11" t="s">
        <v>41</v>
      </c>
      <c r="K54" s="12">
        <v>46043</v>
      </c>
      <c r="L54" s="12">
        <v>46043</v>
      </c>
      <c r="M54" s="13"/>
      <c r="N54" s="14" t="s">
        <v>87</v>
      </c>
      <c r="O54" s="12">
        <v>46051</v>
      </c>
      <c r="P54" s="11">
        <f t="shared" si="0"/>
        <v>9</v>
      </c>
      <c r="Q54" s="11" t="str">
        <f t="shared" ca="1" si="1"/>
        <v>-</v>
      </c>
      <c r="R54" s="11">
        <f>IFERROR(VLOOKUP(G54,Paramètres!$B$6:$F$8,3,FALSE()),"")</f>
        <v>2</v>
      </c>
      <c r="S54" s="11" t="str">
        <f t="shared" ca="1" si="2"/>
        <v>-</v>
      </c>
      <c r="T54" s="12">
        <v>46052</v>
      </c>
      <c r="U54" s="11">
        <f t="shared" si="3"/>
        <v>1</v>
      </c>
      <c r="V54" s="11">
        <f t="shared" si="4"/>
        <v>3</v>
      </c>
      <c r="W54" s="11" t="str">
        <f t="shared" si="5"/>
        <v>Hors délais</v>
      </c>
    </row>
    <row r="55" spans="1:23">
      <c r="A55" s="11">
        <v>39</v>
      </c>
      <c r="B55" s="12">
        <v>46042</v>
      </c>
      <c r="C55" s="13" t="s">
        <v>172</v>
      </c>
      <c r="D55" s="13" t="s">
        <v>104</v>
      </c>
      <c r="E55" s="13"/>
      <c r="F55" s="13" t="s">
        <v>173</v>
      </c>
      <c r="G55" s="11" t="s">
        <v>53</v>
      </c>
      <c r="H55" s="11" t="str">
        <f>IFERROR(VLOOKUP(G55,Paramètres!$B$6:$F$8,2,FALSE()),"")</f>
        <v>N/A</v>
      </c>
      <c r="I55" s="13" t="s">
        <v>71</v>
      </c>
      <c r="J55" s="11" t="s">
        <v>41</v>
      </c>
      <c r="K55" s="12">
        <v>46042</v>
      </c>
      <c r="L55" s="12">
        <v>46042</v>
      </c>
      <c r="M55" s="13" t="s">
        <v>86</v>
      </c>
      <c r="N55" s="14" t="s">
        <v>87</v>
      </c>
      <c r="O55" s="12"/>
      <c r="P55" s="11" t="str">
        <f t="shared" si="0"/>
        <v>-</v>
      </c>
      <c r="Q55" s="11" t="str">
        <f t="shared" ca="1" si="1"/>
        <v>-</v>
      </c>
      <c r="R55" s="11" t="str">
        <f>IFERROR(VLOOKUP(G55,Paramètres!$B$6:$F$8,3,FALSE()),"")</f>
        <v>N/A</v>
      </c>
      <c r="S55" s="11" t="str">
        <f t="shared" ca="1" si="2"/>
        <v>-</v>
      </c>
      <c r="T55" s="12"/>
      <c r="U55" s="11" t="str">
        <f t="shared" si="3"/>
        <v>-</v>
      </c>
      <c r="V55" s="11" t="str">
        <f t="shared" si="4"/>
        <v>-</v>
      </c>
      <c r="W55" s="11" t="str">
        <f t="shared" si="5"/>
        <v>Ne nécessite pas de réponse</v>
      </c>
    </row>
    <row r="56" spans="1:23">
      <c r="A56" s="11">
        <v>40</v>
      </c>
      <c r="B56" s="12">
        <v>46042</v>
      </c>
      <c r="C56" s="13" t="s">
        <v>174</v>
      </c>
      <c r="D56" s="13" t="s">
        <v>175</v>
      </c>
      <c r="E56" s="13"/>
      <c r="F56" s="13" t="s">
        <v>176</v>
      </c>
      <c r="G56" s="11" t="s">
        <v>39</v>
      </c>
      <c r="H56" s="11">
        <f>IFERROR(VLOOKUP(G56,Paramètres!$B$6:$F$8,2,FALSE()),"")</f>
        <v>5</v>
      </c>
      <c r="I56" s="13" t="s">
        <v>108</v>
      </c>
      <c r="J56" s="11" t="s">
        <v>55</v>
      </c>
      <c r="K56" s="12">
        <v>46042</v>
      </c>
      <c r="L56" s="12">
        <v>46042</v>
      </c>
      <c r="M56" s="13" t="s">
        <v>86</v>
      </c>
      <c r="N56" s="14" t="s">
        <v>102</v>
      </c>
      <c r="O56" s="12">
        <v>46049</v>
      </c>
      <c r="P56" s="11">
        <f t="shared" si="0"/>
        <v>7</v>
      </c>
      <c r="Q56" s="11" t="str">
        <f t="shared" ca="1" si="1"/>
        <v>-</v>
      </c>
      <c r="R56" s="11">
        <f>IFERROR(VLOOKUP(G56,Paramètres!$B$6:$F$8,3,FALSE()),"")</f>
        <v>2</v>
      </c>
      <c r="S56" s="11" t="str">
        <f t="shared" ca="1" si="2"/>
        <v>-</v>
      </c>
      <c r="T56" s="12">
        <v>46050</v>
      </c>
      <c r="U56" s="11">
        <f t="shared" si="3"/>
        <v>1</v>
      </c>
      <c r="V56" s="11">
        <f t="shared" si="4"/>
        <v>1</v>
      </c>
      <c r="W56" s="11" t="str">
        <f t="shared" si="5"/>
        <v>Hors délais</v>
      </c>
    </row>
    <row r="57" spans="1:23">
      <c r="A57" s="11">
        <v>41</v>
      </c>
      <c r="B57" s="12">
        <v>46042</v>
      </c>
      <c r="C57" s="13" t="s">
        <v>177</v>
      </c>
      <c r="D57" s="13" t="s">
        <v>178</v>
      </c>
      <c r="E57" s="13"/>
      <c r="F57" s="13" t="s">
        <v>179</v>
      </c>
      <c r="G57" s="11" t="s">
        <v>84</v>
      </c>
      <c r="H57" s="11">
        <f>IFERROR(VLOOKUP(G57,Paramètres!$B$6:$F$8,2,FALSE()),"")</f>
        <v>5</v>
      </c>
      <c r="I57" s="13" t="s">
        <v>71</v>
      </c>
      <c r="J57" s="11" t="s">
        <v>41</v>
      </c>
      <c r="K57" s="12">
        <v>46042</v>
      </c>
      <c r="L57" s="12">
        <v>46042</v>
      </c>
      <c r="M57" s="13" t="s">
        <v>49</v>
      </c>
      <c r="N57" s="14" t="s">
        <v>76</v>
      </c>
      <c r="O57" s="12">
        <v>46045</v>
      </c>
      <c r="P57" s="11">
        <f t="shared" si="0"/>
        <v>3</v>
      </c>
      <c r="Q57" s="11" t="str">
        <f t="shared" ca="1" si="1"/>
        <v>-</v>
      </c>
      <c r="R57" s="11">
        <f>IFERROR(VLOOKUP(G57,Paramètres!$B$6:$F$8,3,FALSE()),"")</f>
        <v>2</v>
      </c>
      <c r="S57" s="11" t="str">
        <f t="shared" ca="1" si="2"/>
        <v>-</v>
      </c>
      <c r="T57" s="12">
        <v>46049</v>
      </c>
      <c r="U57" s="11">
        <f t="shared" si="3"/>
        <v>4</v>
      </c>
      <c r="V57" s="11">
        <f t="shared" si="4"/>
        <v>0</v>
      </c>
      <c r="W57" s="11" t="str">
        <f t="shared" si="5"/>
        <v>Dans les délais</v>
      </c>
    </row>
    <row r="58" spans="1:23" ht="28.5">
      <c r="A58" s="11">
        <v>42</v>
      </c>
      <c r="B58" s="12">
        <v>46042</v>
      </c>
      <c r="C58" s="13" t="s">
        <v>180</v>
      </c>
      <c r="D58" s="13" t="s">
        <v>96</v>
      </c>
      <c r="E58" s="13"/>
      <c r="F58" s="13" t="s">
        <v>181</v>
      </c>
      <c r="G58" s="11" t="s">
        <v>39</v>
      </c>
      <c r="H58" s="11">
        <f>IFERROR(VLOOKUP(G58,Paramètres!$B$6:$F$8,2,FALSE()),"")</f>
        <v>5</v>
      </c>
      <c r="I58" s="13" t="s">
        <v>98</v>
      </c>
      <c r="J58" s="11" t="s">
        <v>41</v>
      </c>
      <c r="K58" s="12">
        <v>46042</v>
      </c>
      <c r="L58" s="12">
        <v>46043</v>
      </c>
      <c r="M58" s="13" t="s">
        <v>75</v>
      </c>
      <c r="N58" s="14" t="s">
        <v>76</v>
      </c>
      <c r="O58" s="12">
        <v>46045</v>
      </c>
      <c r="P58" s="11">
        <f t="shared" si="0"/>
        <v>3</v>
      </c>
      <c r="Q58" s="11" t="str">
        <f t="shared" ca="1" si="1"/>
        <v>-</v>
      </c>
      <c r="R58" s="11">
        <f>IFERROR(VLOOKUP(G58,Paramètres!$B$6:$F$8,3,FALSE()),"")</f>
        <v>2</v>
      </c>
      <c r="S58" s="11" t="str">
        <f t="shared" ca="1" si="2"/>
        <v>-</v>
      </c>
      <c r="T58" s="12">
        <v>46052</v>
      </c>
      <c r="U58" s="11">
        <f t="shared" si="3"/>
        <v>7</v>
      </c>
      <c r="V58" s="11">
        <f t="shared" si="4"/>
        <v>3</v>
      </c>
      <c r="W58" s="11" t="str">
        <f t="shared" si="5"/>
        <v>Hors délais</v>
      </c>
    </row>
    <row r="59" spans="1:23">
      <c r="A59" s="11">
        <v>43</v>
      </c>
      <c r="B59" s="12">
        <v>46043</v>
      </c>
      <c r="C59" s="13" t="s">
        <v>182</v>
      </c>
      <c r="D59" s="13" t="s">
        <v>100</v>
      </c>
      <c r="E59" s="13" t="s">
        <v>183</v>
      </c>
      <c r="F59" s="13" t="s">
        <v>184</v>
      </c>
      <c r="G59" s="11" t="s">
        <v>84</v>
      </c>
      <c r="H59" s="11">
        <f>IFERROR(VLOOKUP(G59,Paramètres!$B$6:$F$8,2,FALSE()),"")</f>
        <v>5</v>
      </c>
      <c r="I59" s="13" t="s">
        <v>185</v>
      </c>
      <c r="J59" s="11" t="s">
        <v>48</v>
      </c>
      <c r="K59" s="12">
        <v>46043</v>
      </c>
      <c r="L59" s="12">
        <v>46043</v>
      </c>
      <c r="M59" s="13" t="s">
        <v>56</v>
      </c>
      <c r="N59" s="14" t="s">
        <v>186</v>
      </c>
      <c r="O59" s="12">
        <v>46049</v>
      </c>
      <c r="P59" s="11">
        <f t="shared" si="0"/>
        <v>6</v>
      </c>
      <c r="Q59" s="11" t="str">
        <f t="shared" ca="1" si="1"/>
        <v>-</v>
      </c>
      <c r="R59" s="11">
        <f>IFERROR(VLOOKUP(G59,Paramètres!$B$6:$F$8,3,FALSE()),"")</f>
        <v>2</v>
      </c>
      <c r="S59" s="11" t="str">
        <f t="shared" ca="1" si="2"/>
        <v>-</v>
      </c>
      <c r="T59" s="12">
        <v>46051</v>
      </c>
      <c r="U59" s="11">
        <f t="shared" si="3"/>
        <v>2</v>
      </c>
      <c r="V59" s="11">
        <f t="shared" si="4"/>
        <v>1</v>
      </c>
      <c r="W59" s="11" t="str">
        <f t="shared" si="5"/>
        <v>Hors délais</v>
      </c>
    </row>
    <row r="60" spans="1:23">
      <c r="A60" s="11">
        <v>44</v>
      </c>
      <c r="B60" s="12">
        <v>46044</v>
      </c>
      <c r="C60" s="13" t="s">
        <v>187</v>
      </c>
      <c r="D60" s="13" t="s">
        <v>115</v>
      </c>
      <c r="E60" s="13" t="s">
        <v>188</v>
      </c>
      <c r="F60" s="13" t="s">
        <v>189</v>
      </c>
      <c r="G60" s="11" t="s">
        <v>39</v>
      </c>
      <c r="H60" s="11">
        <f>IFERROR(VLOOKUP(G60,Paramètres!$B$6:$F$8,2,FALSE()),"")</f>
        <v>5</v>
      </c>
      <c r="I60" s="13" t="s">
        <v>190</v>
      </c>
      <c r="J60" s="11" t="s">
        <v>48</v>
      </c>
      <c r="K60" s="12">
        <v>46045</v>
      </c>
      <c r="L60" s="12">
        <v>46045</v>
      </c>
      <c r="M60" s="13" t="s">
        <v>56</v>
      </c>
      <c r="N60" s="14" t="s">
        <v>121</v>
      </c>
      <c r="O60" s="12">
        <v>46050</v>
      </c>
      <c r="P60" s="11">
        <f t="shared" si="0"/>
        <v>6</v>
      </c>
      <c r="Q60" s="11" t="str">
        <f t="shared" ca="1" si="1"/>
        <v>-</v>
      </c>
      <c r="R60" s="11">
        <f>IFERROR(VLOOKUP(G60,Paramètres!$B$6:$F$8,3,FALSE()),"")</f>
        <v>2</v>
      </c>
      <c r="S60" s="11" t="str">
        <f t="shared" ca="1" si="2"/>
        <v>-</v>
      </c>
      <c r="T60" s="12">
        <v>46057</v>
      </c>
      <c r="U60" s="11">
        <f t="shared" si="3"/>
        <v>7</v>
      </c>
      <c r="V60" s="11">
        <f t="shared" si="4"/>
        <v>6</v>
      </c>
      <c r="W60" s="11" t="str">
        <f t="shared" si="5"/>
        <v>Hors délais</v>
      </c>
    </row>
    <row r="61" spans="1:23">
      <c r="A61" s="11">
        <v>45</v>
      </c>
      <c r="B61" s="12">
        <v>46044</v>
      </c>
      <c r="C61" s="13" t="s">
        <v>191</v>
      </c>
      <c r="D61" s="13" t="s">
        <v>81</v>
      </c>
      <c r="E61" s="13"/>
      <c r="F61" s="13" t="s">
        <v>192</v>
      </c>
      <c r="G61" s="11" t="s">
        <v>39</v>
      </c>
      <c r="H61" s="11">
        <f>IFERROR(VLOOKUP(G61,Paramètres!$B$6:$F$8,2,FALSE()),"")</f>
        <v>5</v>
      </c>
      <c r="I61" s="13" t="s">
        <v>71</v>
      </c>
      <c r="J61" s="11" t="s">
        <v>41</v>
      </c>
      <c r="K61" s="12">
        <v>46044</v>
      </c>
      <c r="L61" s="12">
        <v>46044</v>
      </c>
      <c r="M61" s="13"/>
      <c r="N61" s="14" t="s">
        <v>43</v>
      </c>
      <c r="O61" s="12">
        <v>46049</v>
      </c>
      <c r="P61" s="11">
        <f t="shared" si="0"/>
        <v>5</v>
      </c>
      <c r="Q61" s="11" t="str">
        <f t="shared" ca="1" si="1"/>
        <v>-</v>
      </c>
      <c r="R61" s="11">
        <f>IFERROR(VLOOKUP(G61,Paramètres!$B$6:$F$8,3,FALSE()),"")</f>
        <v>2</v>
      </c>
      <c r="S61" s="11" t="str">
        <f t="shared" ca="1" si="2"/>
        <v>-</v>
      </c>
      <c r="T61" s="12">
        <v>46051</v>
      </c>
      <c r="U61" s="11">
        <f t="shared" si="3"/>
        <v>2</v>
      </c>
      <c r="V61" s="11">
        <f t="shared" si="4"/>
        <v>0</v>
      </c>
      <c r="W61" s="11" t="str">
        <f t="shared" si="5"/>
        <v>Dans les délais</v>
      </c>
    </row>
    <row r="62" spans="1:23">
      <c r="A62" s="11">
        <v>46</v>
      </c>
      <c r="B62" s="12">
        <v>46044</v>
      </c>
      <c r="C62" s="13" t="s">
        <v>193</v>
      </c>
      <c r="D62" s="13" t="s">
        <v>59</v>
      </c>
      <c r="E62" s="13"/>
      <c r="F62" s="13" t="s">
        <v>194</v>
      </c>
      <c r="G62" s="11" t="s">
        <v>39</v>
      </c>
      <c r="H62" s="11">
        <f>IFERROR(VLOOKUP(G62,Paramètres!$B$6:$F$8,2,FALSE()),"")</f>
        <v>5</v>
      </c>
      <c r="I62" s="13" t="s">
        <v>65</v>
      </c>
      <c r="J62" s="11" t="s">
        <v>55</v>
      </c>
      <c r="K62" s="12">
        <v>46044</v>
      </c>
      <c r="L62" s="12">
        <v>46045</v>
      </c>
      <c r="M62" s="13" t="s">
        <v>86</v>
      </c>
      <c r="N62" s="14" t="s">
        <v>66</v>
      </c>
      <c r="O62" s="12">
        <v>46048</v>
      </c>
      <c r="P62" s="11">
        <f t="shared" si="0"/>
        <v>4</v>
      </c>
      <c r="Q62" s="11" t="str">
        <f t="shared" ca="1" si="1"/>
        <v>-</v>
      </c>
      <c r="R62" s="11">
        <f>IFERROR(VLOOKUP(G62,Paramètres!$B$6:$F$8,3,FALSE()),"")</f>
        <v>2</v>
      </c>
      <c r="S62" s="11" t="str">
        <f t="shared" ca="1" si="2"/>
        <v>-</v>
      </c>
      <c r="T62" s="12">
        <v>46049</v>
      </c>
      <c r="U62" s="11">
        <f t="shared" si="3"/>
        <v>1</v>
      </c>
      <c r="V62" s="11">
        <f t="shared" si="4"/>
        <v>-2</v>
      </c>
      <c r="W62" s="11" t="str">
        <f t="shared" si="5"/>
        <v>Dans les délais</v>
      </c>
    </row>
    <row r="63" spans="1:23">
      <c r="A63" s="11">
        <v>47</v>
      </c>
      <c r="B63" s="12">
        <v>46044</v>
      </c>
      <c r="C63" s="13" t="s">
        <v>195</v>
      </c>
      <c r="D63" s="13" t="s">
        <v>59</v>
      </c>
      <c r="E63" s="13" t="s">
        <v>196</v>
      </c>
      <c r="F63" s="13" t="s">
        <v>197</v>
      </c>
      <c r="G63" s="11" t="s">
        <v>39</v>
      </c>
      <c r="H63" s="11">
        <f>IFERROR(VLOOKUP(G63,Paramètres!$B$6:$F$8,2,FALSE()),"")</f>
        <v>5</v>
      </c>
      <c r="I63" s="13" t="s">
        <v>91</v>
      </c>
      <c r="J63" s="11" t="s">
        <v>41</v>
      </c>
      <c r="K63" s="12">
        <v>46045</v>
      </c>
      <c r="L63" s="12">
        <v>46045</v>
      </c>
      <c r="M63" s="13" t="s">
        <v>42</v>
      </c>
      <c r="N63" s="14" t="s">
        <v>43</v>
      </c>
      <c r="O63" s="12">
        <v>46049</v>
      </c>
      <c r="P63" s="11">
        <f t="shared" si="0"/>
        <v>5</v>
      </c>
      <c r="Q63" s="11" t="str">
        <f t="shared" ca="1" si="1"/>
        <v>-</v>
      </c>
      <c r="R63" s="11">
        <f>IFERROR(VLOOKUP(G63,Paramètres!$B$6:$F$8,3,FALSE()),"")</f>
        <v>2</v>
      </c>
      <c r="S63" s="11" t="str">
        <f t="shared" ca="1" si="2"/>
        <v>-</v>
      </c>
      <c r="T63" s="12">
        <v>46050</v>
      </c>
      <c r="U63" s="11">
        <f t="shared" si="3"/>
        <v>1</v>
      </c>
      <c r="V63" s="11">
        <f t="shared" si="4"/>
        <v>-1</v>
      </c>
      <c r="W63" s="11" t="str">
        <f t="shared" si="5"/>
        <v>Dans les délais</v>
      </c>
    </row>
    <row r="64" spans="1:23">
      <c r="A64" s="11">
        <v>48</v>
      </c>
      <c r="B64" s="12">
        <v>46044</v>
      </c>
      <c r="C64" s="13" t="s">
        <v>198</v>
      </c>
      <c r="D64" s="13" t="s">
        <v>59</v>
      </c>
      <c r="E64" s="13" t="s">
        <v>199</v>
      </c>
      <c r="F64" s="13" t="s">
        <v>200</v>
      </c>
      <c r="G64" s="11" t="s">
        <v>39</v>
      </c>
      <c r="H64" s="11">
        <f>IFERROR(VLOOKUP(G64,Paramètres!$B$6:$F$8,2,FALSE()),"")</f>
        <v>5</v>
      </c>
      <c r="I64" s="13" t="s">
        <v>54</v>
      </c>
      <c r="J64" s="11" t="s">
        <v>55</v>
      </c>
      <c r="K64" s="12">
        <v>46044</v>
      </c>
      <c r="L64" s="12">
        <v>46044</v>
      </c>
      <c r="M64" s="13"/>
      <c r="N64" s="14" t="s">
        <v>66</v>
      </c>
      <c r="O64" s="12">
        <v>46050</v>
      </c>
      <c r="P64" s="11">
        <f t="shared" si="0"/>
        <v>6</v>
      </c>
      <c r="Q64" s="11" t="str">
        <f t="shared" ca="1" si="1"/>
        <v>-</v>
      </c>
      <c r="R64" s="11">
        <f>IFERROR(VLOOKUP(G64,Paramètres!$B$6:$F$8,3,FALSE()),"")</f>
        <v>2</v>
      </c>
      <c r="S64" s="11" t="str">
        <f t="shared" ca="1" si="2"/>
        <v>-</v>
      </c>
      <c r="T64" s="12">
        <v>46057</v>
      </c>
      <c r="U64" s="11">
        <f t="shared" si="3"/>
        <v>7</v>
      </c>
      <c r="V64" s="11">
        <f t="shared" si="4"/>
        <v>6</v>
      </c>
      <c r="W64" s="11" t="str">
        <f t="shared" si="5"/>
        <v>Hors délais</v>
      </c>
    </row>
    <row r="65" spans="1:23">
      <c r="A65" s="11">
        <v>49</v>
      </c>
      <c r="B65" s="12">
        <v>46044</v>
      </c>
      <c r="C65" s="13" t="s">
        <v>201</v>
      </c>
      <c r="D65" s="13" t="s">
        <v>45</v>
      </c>
      <c r="E65" s="13" t="s">
        <v>202</v>
      </c>
      <c r="F65" s="13" t="s">
        <v>203</v>
      </c>
      <c r="G65" s="11" t="s">
        <v>39</v>
      </c>
      <c r="H65" s="11">
        <f>IFERROR(VLOOKUP(G65,Paramètres!$B$6:$F$8,2,FALSE()),"")</f>
        <v>5</v>
      </c>
      <c r="I65" s="13" t="s">
        <v>71</v>
      </c>
      <c r="J65" s="11" t="s">
        <v>41</v>
      </c>
      <c r="K65" s="12">
        <v>46044</v>
      </c>
      <c r="L65" s="12">
        <v>46044</v>
      </c>
      <c r="M65" s="13" t="s">
        <v>86</v>
      </c>
      <c r="N65" s="14" t="s">
        <v>87</v>
      </c>
      <c r="O65" s="12">
        <v>46050</v>
      </c>
      <c r="P65" s="11">
        <f t="shared" si="0"/>
        <v>6</v>
      </c>
      <c r="Q65" s="11" t="str">
        <f t="shared" ca="1" si="1"/>
        <v>-</v>
      </c>
      <c r="R65" s="11">
        <f>IFERROR(VLOOKUP(G65,Paramètres!$B$6:$F$8,3,FALSE()),"")</f>
        <v>2</v>
      </c>
      <c r="S65" s="11" t="str">
        <f t="shared" ca="1" si="2"/>
        <v>-</v>
      </c>
      <c r="T65" s="12">
        <v>46051</v>
      </c>
      <c r="U65" s="11">
        <f t="shared" si="3"/>
        <v>1</v>
      </c>
      <c r="V65" s="11">
        <f t="shared" si="4"/>
        <v>0</v>
      </c>
      <c r="W65" s="11" t="str">
        <f t="shared" si="5"/>
        <v>Dans les délais</v>
      </c>
    </row>
    <row r="66" spans="1:23">
      <c r="A66" s="11">
        <v>50</v>
      </c>
      <c r="B66" s="12">
        <v>46045</v>
      </c>
      <c r="C66" s="13" t="s">
        <v>204</v>
      </c>
      <c r="D66" s="13" t="s">
        <v>100</v>
      </c>
      <c r="E66" s="13"/>
      <c r="F66" s="13" t="s">
        <v>205</v>
      </c>
      <c r="G66" s="11" t="s">
        <v>39</v>
      </c>
      <c r="H66" s="11">
        <f>IFERROR(VLOOKUP(G66,Paramètres!$B$6:$F$8,2,FALSE()),"")</f>
        <v>5</v>
      </c>
      <c r="I66" s="13" t="s">
        <v>71</v>
      </c>
      <c r="J66" s="11" t="s">
        <v>41</v>
      </c>
      <c r="K66" s="12">
        <v>46048</v>
      </c>
      <c r="L66" s="12">
        <v>46048</v>
      </c>
      <c r="M66" s="13" t="s">
        <v>56</v>
      </c>
      <c r="N66" s="14" t="s">
        <v>76</v>
      </c>
      <c r="O66" s="12">
        <v>46051</v>
      </c>
      <c r="P66" s="11">
        <f t="shared" si="0"/>
        <v>6</v>
      </c>
      <c r="Q66" s="11" t="str">
        <f t="shared" ca="1" si="1"/>
        <v>-</v>
      </c>
      <c r="R66" s="11">
        <f>IFERROR(VLOOKUP(G66,Paramètres!$B$6:$F$8,3,FALSE()),"")</f>
        <v>2</v>
      </c>
      <c r="S66" s="11" t="str">
        <f t="shared" ca="1" si="2"/>
        <v>-</v>
      </c>
      <c r="T66" s="12">
        <v>46055</v>
      </c>
      <c r="U66" s="11">
        <f t="shared" si="3"/>
        <v>4</v>
      </c>
      <c r="V66" s="11">
        <f t="shared" si="4"/>
        <v>3</v>
      </c>
      <c r="W66" s="11" t="str">
        <f t="shared" si="5"/>
        <v>Hors délais</v>
      </c>
    </row>
    <row r="67" spans="1:23">
      <c r="A67" s="11">
        <v>51</v>
      </c>
      <c r="B67" s="12">
        <v>46045</v>
      </c>
      <c r="C67" s="13" t="s">
        <v>206</v>
      </c>
      <c r="D67" s="13" t="s">
        <v>118</v>
      </c>
      <c r="E67" s="13" t="s">
        <v>207</v>
      </c>
      <c r="F67" s="13" t="s">
        <v>208</v>
      </c>
      <c r="G67" s="11" t="s">
        <v>53</v>
      </c>
      <c r="H67" s="11" t="str">
        <f>IFERROR(VLOOKUP(G67,Paramètres!$B$6:$F$8,2,FALSE()),"")</f>
        <v>N/A</v>
      </c>
      <c r="I67" s="13" t="s">
        <v>130</v>
      </c>
      <c r="J67" s="11" t="s">
        <v>48</v>
      </c>
      <c r="K67" s="12">
        <v>46045</v>
      </c>
      <c r="L67" s="12">
        <v>46045</v>
      </c>
      <c r="M67" s="13"/>
      <c r="N67" s="14" t="s">
        <v>186</v>
      </c>
      <c r="O67" s="12"/>
      <c r="P67" s="11" t="str">
        <f t="shared" si="0"/>
        <v>-</v>
      </c>
      <c r="Q67" s="11" t="str">
        <f t="shared" ca="1" si="1"/>
        <v>-</v>
      </c>
      <c r="R67" s="11" t="str">
        <f>IFERROR(VLOOKUP(G67,Paramètres!$B$6:$F$8,3,FALSE()),"")</f>
        <v>N/A</v>
      </c>
      <c r="S67" s="11" t="str">
        <f t="shared" ca="1" si="2"/>
        <v>-</v>
      </c>
      <c r="T67" s="12"/>
      <c r="U67" s="11" t="str">
        <f t="shared" si="3"/>
        <v>-</v>
      </c>
      <c r="V67" s="11" t="str">
        <f t="shared" si="4"/>
        <v>-</v>
      </c>
      <c r="W67" s="11" t="str">
        <f t="shared" si="5"/>
        <v>Ne nécessite pas de réponse</v>
      </c>
    </row>
    <row r="68" spans="1:23">
      <c r="A68" s="11">
        <v>52</v>
      </c>
      <c r="B68" s="12">
        <v>46045</v>
      </c>
      <c r="C68" s="13" t="s">
        <v>209</v>
      </c>
      <c r="D68" s="13" t="s">
        <v>81</v>
      </c>
      <c r="E68" s="13"/>
      <c r="F68" s="13" t="s">
        <v>210</v>
      </c>
      <c r="G68" s="11" t="s">
        <v>53</v>
      </c>
      <c r="H68" s="11" t="str">
        <f>IFERROR(VLOOKUP(G68,Paramètres!$B$6:$F$8,2,FALSE()),"")</f>
        <v>N/A</v>
      </c>
      <c r="I68" s="13" t="s">
        <v>98</v>
      </c>
      <c r="J68" s="11" t="s">
        <v>41</v>
      </c>
      <c r="K68" s="12">
        <v>46045</v>
      </c>
      <c r="L68" s="12">
        <v>46045</v>
      </c>
      <c r="M68" s="13" t="s">
        <v>61</v>
      </c>
      <c r="N68" s="14" t="s">
        <v>43</v>
      </c>
      <c r="O68" s="12"/>
      <c r="P68" s="11" t="str">
        <f t="shared" si="0"/>
        <v>-</v>
      </c>
      <c r="Q68" s="11" t="str">
        <f t="shared" ca="1" si="1"/>
        <v>-</v>
      </c>
      <c r="R68" s="11" t="str">
        <f>IFERROR(VLOOKUP(G68,Paramètres!$B$6:$F$8,3,FALSE()),"")</f>
        <v>N/A</v>
      </c>
      <c r="S68" s="11" t="str">
        <f t="shared" ca="1" si="2"/>
        <v>-</v>
      </c>
      <c r="T68" s="12"/>
      <c r="U68" s="11" t="str">
        <f t="shared" si="3"/>
        <v>-</v>
      </c>
      <c r="V68" s="11" t="str">
        <f t="shared" si="4"/>
        <v>-</v>
      </c>
      <c r="W68" s="11" t="str">
        <f t="shared" si="5"/>
        <v>Ne nécessite pas de réponse</v>
      </c>
    </row>
    <row r="69" spans="1:23">
      <c r="A69" s="11">
        <v>53</v>
      </c>
      <c r="B69" s="12">
        <v>46045</v>
      </c>
      <c r="C69" s="13" t="s">
        <v>211</v>
      </c>
      <c r="D69" s="13" t="s">
        <v>37</v>
      </c>
      <c r="E69" s="13" t="s">
        <v>212</v>
      </c>
      <c r="F69" s="13" t="s">
        <v>213</v>
      </c>
      <c r="G69" s="11" t="s">
        <v>39</v>
      </c>
      <c r="H69" s="11">
        <f>IFERROR(VLOOKUP(G69,Paramètres!$B$6:$F$8,2,FALSE()),"")</f>
        <v>5</v>
      </c>
      <c r="I69" s="13" t="s">
        <v>91</v>
      </c>
      <c r="J69" s="11" t="s">
        <v>41</v>
      </c>
      <c r="K69" s="12">
        <v>46048</v>
      </c>
      <c r="L69" s="12">
        <v>46048</v>
      </c>
      <c r="M69" s="13" t="s">
        <v>42</v>
      </c>
      <c r="N69" s="14" t="s">
        <v>76</v>
      </c>
      <c r="O69" s="12">
        <v>46052</v>
      </c>
      <c r="P69" s="11">
        <f t="shared" si="0"/>
        <v>7</v>
      </c>
      <c r="Q69" s="11" t="str">
        <f t="shared" ca="1" si="1"/>
        <v>-</v>
      </c>
      <c r="R69" s="11">
        <f>IFERROR(VLOOKUP(G69,Paramètres!$B$6:$F$8,3,FALSE()),"")</f>
        <v>2</v>
      </c>
      <c r="S69" s="11" t="str">
        <f t="shared" ca="1" si="2"/>
        <v>-</v>
      </c>
      <c r="T69" s="12">
        <v>46052</v>
      </c>
      <c r="U69" s="11">
        <f t="shared" si="3"/>
        <v>0</v>
      </c>
      <c r="V69" s="11">
        <f t="shared" si="4"/>
        <v>0</v>
      </c>
      <c r="W69" s="11" t="str">
        <f t="shared" si="5"/>
        <v>Dans les délais</v>
      </c>
    </row>
    <row r="70" spans="1:23">
      <c r="A70" s="11">
        <v>54</v>
      </c>
      <c r="B70" s="12">
        <v>46048</v>
      </c>
      <c r="C70" s="13" t="s">
        <v>214</v>
      </c>
      <c r="D70" s="13" t="s">
        <v>100</v>
      </c>
      <c r="E70" s="13"/>
      <c r="F70" s="13" t="s">
        <v>215</v>
      </c>
      <c r="G70" s="11" t="s">
        <v>39</v>
      </c>
      <c r="H70" s="11">
        <f>IFERROR(VLOOKUP(G70,Paramètres!$B$6:$F$8,2,FALSE()),"")</f>
        <v>5</v>
      </c>
      <c r="I70" s="13" t="s">
        <v>120</v>
      </c>
      <c r="J70" s="11" t="s">
        <v>48</v>
      </c>
      <c r="K70" s="12">
        <v>46048</v>
      </c>
      <c r="L70" s="12">
        <v>46049</v>
      </c>
      <c r="M70" s="13" t="s">
        <v>49</v>
      </c>
      <c r="N70" s="14" t="s">
        <v>50</v>
      </c>
      <c r="O70" s="12">
        <v>46051</v>
      </c>
      <c r="P70" s="11">
        <f t="shared" si="0"/>
        <v>3</v>
      </c>
      <c r="Q70" s="11" t="str">
        <f t="shared" ca="1" si="1"/>
        <v>-</v>
      </c>
      <c r="R70" s="11">
        <f>IFERROR(VLOOKUP(G70,Paramètres!$B$6:$F$8,3,FALSE()),"")</f>
        <v>2</v>
      </c>
      <c r="S70" s="11" t="str">
        <f t="shared" ca="1" si="2"/>
        <v>-</v>
      </c>
      <c r="T70" s="12">
        <v>46056</v>
      </c>
      <c r="U70" s="11">
        <f t="shared" si="3"/>
        <v>5</v>
      </c>
      <c r="V70" s="11">
        <f t="shared" si="4"/>
        <v>1</v>
      </c>
      <c r="W70" s="11" t="str">
        <f t="shared" si="5"/>
        <v>Hors délais</v>
      </c>
    </row>
    <row r="71" spans="1:23">
      <c r="A71" s="11">
        <v>55</v>
      </c>
      <c r="B71" s="12">
        <v>46048</v>
      </c>
      <c r="C71" s="13" t="s">
        <v>216</v>
      </c>
      <c r="D71" s="13" t="s">
        <v>137</v>
      </c>
      <c r="E71" s="13"/>
      <c r="F71" s="13" t="s">
        <v>217</v>
      </c>
      <c r="G71" s="11" t="s">
        <v>39</v>
      </c>
      <c r="H71" s="11">
        <f>IFERROR(VLOOKUP(G71,Paramètres!$B$6:$F$8,2,FALSE()),"")</f>
        <v>5</v>
      </c>
      <c r="I71" s="13" t="s">
        <v>185</v>
      </c>
      <c r="J71" s="11" t="s">
        <v>48</v>
      </c>
      <c r="K71" s="12">
        <v>46049</v>
      </c>
      <c r="L71" s="12">
        <v>46050</v>
      </c>
      <c r="M71" s="13" t="s">
        <v>49</v>
      </c>
      <c r="N71" s="14" t="s">
        <v>50</v>
      </c>
      <c r="O71" s="12">
        <v>46051</v>
      </c>
      <c r="P71" s="11">
        <f t="shared" si="0"/>
        <v>3</v>
      </c>
      <c r="Q71" s="11" t="str">
        <f t="shared" ca="1" si="1"/>
        <v>-</v>
      </c>
      <c r="R71" s="11">
        <f>IFERROR(VLOOKUP(G71,Paramètres!$B$6:$F$8,3,FALSE()),"")</f>
        <v>2</v>
      </c>
      <c r="S71" s="11" t="str">
        <f t="shared" ca="1" si="2"/>
        <v>-</v>
      </c>
      <c r="T71" s="12">
        <v>46052</v>
      </c>
      <c r="U71" s="11">
        <f t="shared" si="3"/>
        <v>1</v>
      </c>
      <c r="V71" s="11">
        <f t="shared" si="4"/>
        <v>-3</v>
      </c>
      <c r="W71" s="11" t="str">
        <f t="shared" si="5"/>
        <v>Dans les délais</v>
      </c>
    </row>
    <row r="72" spans="1:23">
      <c r="A72" s="11">
        <v>56</v>
      </c>
      <c r="B72" s="12">
        <v>46048</v>
      </c>
      <c r="C72" s="13" t="s">
        <v>218</v>
      </c>
      <c r="D72" s="13" t="s">
        <v>104</v>
      </c>
      <c r="E72" s="13" t="s">
        <v>219</v>
      </c>
      <c r="F72" s="13" t="s">
        <v>220</v>
      </c>
      <c r="G72" s="11" t="s">
        <v>39</v>
      </c>
      <c r="H72" s="11">
        <f>IFERROR(VLOOKUP(G72,Paramètres!$B$6:$F$8,2,FALSE()),"")</f>
        <v>5</v>
      </c>
      <c r="I72" s="13" t="s">
        <v>98</v>
      </c>
      <c r="J72" s="11" t="s">
        <v>41</v>
      </c>
      <c r="K72" s="12">
        <v>46048</v>
      </c>
      <c r="L72" s="12">
        <v>46048</v>
      </c>
      <c r="M72" s="13"/>
      <c r="N72" s="14" t="s">
        <v>43</v>
      </c>
      <c r="O72" s="12"/>
      <c r="P72" s="11" t="str">
        <f t="shared" si="0"/>
        <v/>
      </c>
      <c r="Q72" s="11" t="str">
        <f t="shared" ca="1" si="1"/>
        <v>ROUGE</v>
      </c>
      <c r="R72" s="11">
        <f>IFERROR(VLOOKUP(G72,Paramètres!$B$6:$F$8,3,FALSE()),"")</f>
        <v>2</v>
      </c>
      <c r="S72" s="11" t="str">
        <f t="shared" ca="1" si="2"/>
        <v/>
      </c>
      <c r="T72" s="12"/>
      <c r="U72" s="11" t="str">
        <f t="shared" si="3"/>
        <v/>
      </c>
      <c r="V72" s="11" t="str">
        <f t="shared" si="4"/>
        <v/>
      </c>
      <c r="W72" s="11" t="str">
        <f t="shared" si="5"/>
        <v/>
      </c>
    </row>
    <row r="73" spans="1:23">
      <c r="A73" s="11">
        <v>57</v>
      </c>
      <c r="B73" s="12">
        <v>46048</v>
      </c>
      <c r="C73" s="13" t="s">
        <v>221</v>
      </c>
      <c r="D73" s="13" t="s">
        <v>63</v>
      </c>
      <c r="E73" s="13"/>
      <c r="F73" s="13" t="s">
        <v>222</v>
      </c>
      <c r="G73" s="11" t="s">
        <v>53</v>
      </c>
      <c r="H73" s="11" t="str">
        <f>IFERROR(VLOOKUP(G73,Paramètres!$B$6:$F$8,2,FALSE()),"")</f>
        <v>N/A</v>
      </c>
      <c r="I73" s="13" t="s">
        <v>40</v>
      </c>
      <c r="J73" s="11" t="s">
        <v>41</v>
      </c>
      <c r="K73" s="12">
        <v>46048</v>
      </c>
      <c r="L73" s="12">
        <v>46048</v>
      </c>
      <c r="M73" s="13" t="s">
        <v>56</v>
      </c>
      <c r="N73" s="14" t="s">
        <v>43</v>
      </c>
      <c r="O73" s="12"/>
      <c r="P73" s="11" t="str">
        <f t="shared" si="0"/>
        <v>-</v>
      </c>
      <c r="Q73" s="11" t="str">
        <f t="shared" ca="1" si="1"/>
        <v>-</v>
      </c>
      <c r="R73" s="11" t="str">
        <f>IFERROR(VLOOKUP(G73,Paramètres!$B$6:$F$8,3,FALSE()),"")</f>
        <v>N/A</v>
      </c>
      <c r="S73" s="11" t="str">
        <f t="shared" ca="1" si="2"/>
        <v>-</v>
      </c>
      <c r="T73" s="12"/>
      <c r="U73" s="11" t="str">
        <f t="shared" si="3"/>
        <v>-</v>
      </c>
      <c r="V73" s="11" t="str">
        <f t="shared" si="4"/>
        <v>-</v>
      </c>
      <c r="W73" s="11" t="str">
        <f t="shared" si="5"/>
        <v>Ne nécessite pas de réponse</v>
      </c>
    </row>
    <row r="74" spans="1:23">
      <c r="A74" s="11">
        <v>58</v>
      </c>
      <c r="B74" s="12">
        <v>46048</v>
      </c>
      <c r="C74" s="13" t="s">
        <v>223</v>
      </c>
      <c r="D74" s="13" t="s">
        <v>45</v>
      </c>
      <c r="E74" s="13"/>
      <c r="F74" s="13" t="s">
        <v>224</v>
      </c>
      <c r="G74" s="11" t="s">
        <v>53</v>
      </c>
      <c r="H74" s="11" t="str">
        <f>IFERROR(VLOOKUP(G74,Paramètres!$B$6:$F$8,2,FALSE()),"")</f>
        <v>N/A</v>
      </c>
      <c r="I74" s="13" t="s">
        <v>130</v>
      </c>
      <c r="J74" s="11" t="s">
        <v>48</v>
      </c>
      <c r="K74" s="12">
        <v>46048</v>
      </c>
      <c r="L74" s="12">
        <v>46049</v>
      </c>
      <c r="M74" s="13" t="s">
        <v>49</v>
      </c>
      <c r="N74" s="14" t="s">
        <v>121</v>
      </c>
      <c r="O74" s="12"/>
      <c r="P74" s="11" t="str">
        <f t="shared" si="0"/>
        <v>-</v>
      </c>
      <c r="Q74" s="11" t="str">
        <f t="shared" ca="1" si="1"/>
        <v>-</v>
      </c>
      <c r="R74" s="11" t="str">
        <f>IFERROR(VLOOKUP(G74,Paramètres!$B$6:$F$8,3,FALSE()),"")</f>
        <v>N/A</v>
      </c>
      <c r="S74" s="11" t="str">
        <f t="shared" ca="1" si="2"/>
        <v>-</v>
      </c>
      <c r="T74" s="12"/>
      <c r="U74" s="11" t="str">
        <f t="shared" si="3"/>
        <v>-</v>
      </c>
      <c r="V74" s="11" t="str">
        <f t="shared" si="4"/>
        <v>-</v>
      </c>
      <c r="W74" s="11" t="str">
        <f t="shared" si="5"/>
        <v>Ne nécessite pas de réponse</v>
      </c>
    </row>
    <row r="75" spans="1:23">
      <c r="A75" s="11">
        <v>59</v>
      </c>
      <c r="B75" s="12">
        <v>46049</v>
      </c>
      <c r="C75" s="13" t="s">
        <v>225</v>
      </c>
      <c r="D75" s="13" t="s">
        <v>59</v>
      </c>
      <c r="E75" s="13" t="s">
        <v>226</v>
      </c>
      <c r="F75" s="13" t="s">
        <v>227</v>
      </c>
      <c r="G75" s="11" t="s">
        <v>84</v>
      </c>
      <c r="H75" s="11">
        <f>IFERROR(VLOOKUP(G75,Paramètres!$B$6:$F$8,2,FALSE()),"")</f>
        <v>5</v>
      </c>
      <c r="I75" s="13" t="s">
        <v>228</v>
      </c>
      <c r="J75" s="11" t="s">
        <v>55</v>
      </c>
      <c r="K75" s="12">
        <v>46049</v>
      </c>
      <c r="L75" s="12">
        <v>46049</v>
      </c>
      <c r="M75" s="13" t="s">
        <v>86</v>
      </c>
      <c r="N75" s="14" t="s">
        <v>57</v>
      </c>
      <c r="O75" s="12">
        <v>46065</v>
      </c>
      <c r="P75" s="11">
        <f t="shared" si="0"/>
        <v>16</v>
      </c>
      <c r="Q75" s="11" t="str">
        <f t="shared" ca="1" si="1"/>
        <v>-</v>
      </c>
      <c r="R75" s="11">
        <f>IFERROR(VLOOKUP(G75,Paramètres!$B$6:$F$8,3,FALSE()),"")</f>
        <v>2</v>
      </c>
      <c r="S75" s="11" t="str">
        <f t="shared" ca="1" si="2"/>
        <v>-</v>
      </c>
      <c r="T75" s="12">
        <v>46066</v>
      </c>
      <c r="U75" s="11">
        <f t="shared" si="3"/>
        <v>1</v>
      </c>
      <c r="V75" s="11">
        <f t="shared" si="4"/>
        <v>10</v>
      </c>
      <c r="W75" s="11" t="str">
        <f t="shared" si="5"/>
        <v>Hors délais</v>
      </c>
    </row>
    <row r="76" spans="1:23">
      <c r="A76" s="11">
        <v>60</v>
      </c>
      <c r="B76" s="12">
        <v>46049</v>
      </c>
      <c r="C76" s="13" t="s">
        <v>229</v>
      </c>
      <c r="D76" s="13" t="s">
        <v>230</v>
      </c>
      <c r="E76" s="13"/>
      <c r="F76" s="13" t="s">
        <v>231</v>
      </c>
      <c r="G76" s="11" t="s">
        <v>39</v>
      </c>
      <c r="H76" s="11">
        <f>IFERROR(VLOOKUP(G76,Paramètres!$B$6:$F$8,2,FALSE()),"")</f>
        <v>5</v>
      </c>
      <c r="I76" s="13" t="s">
        <v>232</v>
      </c>
      <c r="J76" s="11" t="s">
        <v>55</v>
      </c>
      <c r="K76" s="12">
        <v>46049</v>
      </c>
      <c r="L76" s="12">
        <v>46049</v>
      </c>
      <c r="M76" s="13" t="s">
        <v>86</v>
      </c>
      <c r="N76" s="14" t="s">
        <v>102</v>
      </c>
      <c r="O76" s="12">
        <v>46052</v>
      </c>
      <c r="P76" s="11">
        <f t="shared" si="0"/>
        <v>3</v>
      </c>
      <c r="Q76" s="11" t="str">
        <f t="shared" ca="1" si="1"/>
        <v>-</v>
      </c>
      <c r="R76" s="11">
        <f>IFERROR(VLOOKUP(G76,Paramètres!$B$6:$F$8,3,FALSE()),"")</f>
        <v>2</v>
      </c>
      <c r="S76" s="11" t="str">
        <f t="shared" ca="1" si="2"/>
        <v>-</v>
      </c>
      <c r="T76" s="12">
        <v>46055</v>
      </c>
      <c r="U76" s="11">
        <f t="shared" si="3"/>
        <v>3</v>
      </c>
      <c r="V76" s="11">
        <f t="shared" si="4"/>
        <v>-1</v>
      </c>
      <c r="W76" s="11" t="str">
        <f t="shared" si="5"/>
        <v>Dans les délais</v>
      </c>
    </row>
    <row r="77" spans="1:23">
      <c r="A77" s="11">
        <v>61</v>
      </c>
      <c r="B77" s="12">
        <v>46049</v>
      </c>
      <c r="C77" s="13" t="s">
        <v>233</v>
      </c>
      <c r="D77" s="13" t="s">
        <v>145</v>
      </c>
      <c r="E77" s="13"/>
      <c r="F77" s="13" t="s">
        <v>234</v>
      </c>
      <c r="G77" s="11" t="s">
        <v>84</v>
      </c>
      <c r="H77" s="11">
        <f>IFERROR(VLOOKUP(G77,Paramètres!$B$6:$F$8,2,FALSE()),"")</f>
        <v>5</v>
      </c>
      <c r="I77" s="13" t="s">
        <v>190</v>
      </c>
      <c r="J77" s="11" t="s">
        <v>48</v>
      </c>
      <c r="K77" s="12">
        <v>46049</v>
      </c>
      <c r="L77" s="12">
        <v>46050</v>
      </c>
      <c r="M77" s="13" t="s">
        <v>61</v>
      </c>
      <c r="N77" s="14" t="s">
        <v>121</v>
      </c>
      <c r="O77" s="12">
        <v>46056</v>
      </c>
      <c r="P77" s="11">
        <f t="shared" si="0"/>
        <v>7</v>
      </c>
      <c r="Q77" s="11" t="str">
        <f t="shared" ca="1" si="1"/>
        <v>-</v>
      </c>
      <c r="R77" s="11">
        <f>IFERROR(VLOOKUP(G77,Paramètres!$B$6:$F$8,3,FALSE()),"")</f>
        <v>2</v>
      </c>
      <c r="S77" s="11" t="str">
        <f t="shared" ca="1" si="2"/>
        <v>-</v>
      </c>
      <c r="T77" s="12">
        <v>46056</v>
      </c>
      <c r="U77" s="11">
        <f t="shared" si="3"/>
        <v>0</v>
      </c>
      <c r="V77" s="11">
        <f t="shared" si="4"/>
        <v>0</v>
      </c>
      <c r="W77" s="11" t="str">
        <f t="shared" si="5"/>
        <v>Dans les délais</v>
      </c>
    </row>
    <row r="78" spans="1:23">
      <c r="A78" s="11">
        <v>62</v>
      </c>
      <c r="B78" s="12">
        <v>46050</v>
      </c>
      <c r="C78" s="13" t="s">
        <v>235</v>
      </c>
      <c r="D78" s="13" t="s">
        <v>137</v>
      </c>
      <c r="E78" s="13" t="s">
        <v>236</v>
      </c>
      <c r="F78" s="13" t="s">
        <v>237</v>
      </c>
      <c r="G78" s="11" t="s">
        <v>84</v>
      </c>
      <c r="H78" s="11">
        <f>IFERROR(VLOOKUP(G78,Paramètres!$B$6:$F$8,2,FALSE()),"")</f>
        <v>5</v>
      </c>
      <c r="I78" s="13" t="s">
        <v>168</v>
      </c>
      <c r="J78" s="11" t="s">
        <v>48</v>
      </c>
      <c r="K78" s="12">
        <v>46050</v>
      </c>
      <c r="L78" s="12">
        <v>46051</v>
      </c>
      <c r="M78" s="13"/>
      <c r="N78" s="14" t="s">
        <v>121</v>
      </c>
      <c r="O78" s="12">
        <v>46058</v>
      </c>
      <c r="P78" s="11">
        <f t="shared" si="0"/>
        <v>8</v>
      </c>
      <c r="Q78" s="11" t="str">
        <f t="shared" ca="1" si="1"/>
        <v>-</v>
      </c>
      <c r="R78" s="11">
        <f>IFERROR(VLOOKUP(G78,Paramètres!$B$6:$F$8,3,FALSE()),"")</f>
        <v>2</v>
      </c>
      <c r="S78" s="11" t="str">
        <f t="shared" ca="1" si="2"/>
        <v>-</v>
      </c>
      <c r="T78" s="12">
        <v>46062</v>
      </c>
      <c r="U78" s="11">
        <f t="shared" si="3"/>
        <v>4</v>
      </c>
      <c r="V78" s="11">
        <f t="shared" si="4"/>
        <v>5</v>
      </c>
      <c r="W78" s="11" t="str">
        <f t="shared" si="5"/>
        <v>Hors délais</v>
      </c>
    </row>
    <row r="79" spans="1:23">
      <c r="A79" s="11">
        <v>63</v>
      </c>
      <c r="B79" s="12">
        <v>46050</v>
      </c>
      <c r="C79" s="13" t="s">
        <v>238</v>
      </c>
      <c r="D79" s="13" t="s">
        <v>230</v>
      </c>
      <c r="E79" s="13"/>
      <c r="F79" s="13" t="s">
        <v>239</v>
      </c>
      <c r="G79" s="11" t="s">
        <v>39</v>
      </c>
      <c r="H79" s="11">
        <f>IFERROR(VLOOKUP(G79,Paramètres!$B$6:$F$8,2,FALSE()),"")</f>
        <v>5</v>
      </c>
      <c r="I79" s="13" t="s">
        <v>240</v>
      </c>
      <c r="J79" s="11" t="s">
        <v>55</v>
      </c>
      <c r="K79" s="12">
        <v>46050</v>
      </c>
      <c r="L79" s="12">
        <v>46050</v>
      </c>
      <c r="M79" s="13"/>
      <c r="N79" s="14" t="s">
        <v>102</v>
      </c>
      <c r="O79" s="12">
        <v>46055</v>
      </c>
      <c r="P79" s="11">
        <f t="shared" si="0"/>
        <v>5</v>
      </c>
      <c r="Q79" s="11" t="str">
        <f t="shared" ca="1" si="1"/>
        <v>-</v>
      </c>
      <c r="R79" s="11">
        <f>IFERROR(VLOOKUP(G79,Paramètres!$B$6:$F$8,3,FALSE()),"")</f>
        <v>2</v>
      </c>
      <c r="S79" s="11" t="str">
        <f t="shared" ca="1" si="2"/>
        <v>-</v>
      </c>
      <c r="T79" s="12">
        <v>46057</v>
      </c>
      <c r="U79" s="11">
        <f t="shared" si="3"/>
        <v>2</v>
      </c>
      <c r="V79" s="11">
        <f t="shared" si="4"/>
        <v>0</v>
      </c>
      <c r="W79" s="11" t="str">
        <f t="shared" si="5"/>
        <v>Dans les délais</v>
      </c>
    </row>
    <row r="80" spans="1:23">
      <c r="A80" s="11">
        <v>64</v>
      </c>
      <c r="B80" s="12">
        <v>46051</v>
      </c>
      <c r="C80" s="13" t="s">
        <v>241</v>
      </c>
      <c r="D80" s="13" t="s">
        <v>89</v>
      </c>
      <c r="E80" s="13" t="s">
        <v>242</v>
      </c>
      <c r="F80" s="13" t="s">
        <v>243</v>
      </c>
      <c r="G80" s="11" t="s">
        <v>39</v>
      </c>
      <c r="H80" s="11">
        <f>IFERROR(VLOOKUP(G80,Paramètres!$B$6:$F$8,2,FALSE()),"")</f>
        <v>5</v>
      </c>
      <c r="I80" s="13" t="s">
        <v>54</v>
      </c>
      <c r="J80" s="11" t="s">
        <v>55</v>
      </c>
      <c r="K80" s="12">
        <v>46052</v>
      </c>
      <c r="L80" s="12">
        <v>46055</v>
      </c>
      <c r="M80" s="13"/>
      <c r="N80" s="14" t="s">
        <v>66</v>
      </c>
      <c r="O80" s="12">
        <v>46055</v>
      </c>
      <c r="P80" s="11">
        <f t="shared" si="0"/>
        <v>4</v>
      </c>
      <c r="Q80" s="11" t="str">
        <f t="shared" ca="1" si="1"/>
        <v>-</v>
      </c>
      <c r="R80" s="11">
        <f>IFERROR(VLOOKUP(G80,Paramètres!$B$6:$F$8,3,FALSE()),"")</f>
        <v>2</v>
      </c>
      <c r="S80" s="11" t="str">
        <f t="shared" ca="1" si="2"/>
        <v>-</v>
      </c>
      <c r="T80" s="12">
        <v>46056</v>
      </c>
      <c r="U80" s="11">
        <f t="shared" si="3"/>
        <v>1</v>
      </c>
      <c r="V80" s="11">
        <f t="shared" si="4"/>
        <v>-2</v>
      </c>
      <c r="W80" s="11" t="str">
        <f t="shared" si="5"/>
        <v>Dans les délais</v>
      </c>
    </row>
    <row r="81" spans="1:23">
      <c r="A81" s="11">
        <v>65</v>
      </c>
      <c r="B81" s="12">
        <v>46051</v>
      </c>
      <c r="C81" s="13" t="s">
        <v>244</v>
      </c>
      <c r="D81" s="13" t="s">
        <v>104</v>
      </c>
      <c r="E81" s="13" t="s">
        <v>245</v>
      </c>
      <c r="F81" s="13" t="s">
        <v>246</v>
      </c>
      <c r="G81" s="11" t="s">
        <v>39</v>
      </c>
      <c r="H81" s="11">
        <f>IFERROR(VLOOKUP(G81,Paramètres!$B$6:$F$8,2,FALSE()),"")</f>
        <v>5</v>
      </c>
      <c r="I81" s="13" t="s">
        <v>65</v>
      </c>
      <c r="J81" s="11" t="s">
        <v>55</v>
      </c>
      <c r="K81" s="12">
        <v>46052</v>
      </c>
      <c r="L81" s="12">
        <v>46052</v>
      </c>
      <c r="M81" s="13" t="s">
        <v>61</v>
      </c>
      <c r="N81" s="14" t="s">
        <v>66</v>
      </c>
      <c r="O81" s="12">
        <v>46064</v>
      </c>
      <c r="P81" s="11">
        <f t="shared" ref="P81:P144" si="6">IF(G81="Ne nécessite pas de réponse","-",IF(AND(ISNUMBER(B81),ISNUMBER(O81)),O81-B81,""))</f>
        <v>13</v>
      </c>
      <c r="Q81" s="11" t="str">
        <f t="shared" ref="Q81:Q144" ca="1" si="7">IF(G81="Ne nécessite pas de réponse","-",IF(O81&lt;&gt;"","-",IF(OR(B81="",H81="",NOT(ISNUMBER(H81)),H81=0),"",IF((TODAY()-B81)/H81&lt;=0.5,"VERT",IF((TODAY()-B81)/H81&lt;=0.8,"JAUNE","ROUGE")))))</f>
        <v>-</v>
      </c>
      <c r="R81" s="11">
        <f>IFERROR(VLOOKUP(G81,Paramètres!$B$6:$F$8,3,FALSE()),"")</f>
        <v>2</v>
      </c>
      <c r="S81" s="11" t="str">
        <f t="shared" ref="S81:S144" ca="1" si="8">IF(G81="Ne nécessite pas de réponse","-",IF(O81="","",IF(T81&lt;&gt;"","-",IF(OR(R81="",NOT(ISNUMBER(R81)),R81=0),"",IF((TODAY()-O81)/R81&lt;=0.5,"VERT",IF((TODAY()-O81)/R81&lt;=0.8,"JAUNE","ROUGE"))))))</f>
        <v>-</v>
      </c>
      <c r="T81" s="12">
        <v>46064</v>
      </c>
      <c r="U81" s="11">
        <f t="shared" ref="U81:U144" si="9">IF(G81="Ne nécessite pas de réponse","-",IF(AND(ISNUMBER(O81),ISNUMBER(T81)),T81-O81,""))</f>
        <v>0</v>
      </c>
      <c r="V81" s="11">
        <f t="shared" ref="V81:V144" si="10">IF(G81="Ne nécessite pas de réponse","-",IF(AND(ISNUMBER(T81),ISNUMBER(B81),ISNUMBER(H81),ISNUMBER(R81)),T81-(B81+H81+R81),""))</f>
        <v>6</v>
      </c>
      <c r="W81" s="11" t="str">
        <f t="shared" ref="W81:W144" si="11">IF(G81="Ne nécessite pas de réponse","Ne nécessite pas de réponse",IF(T81="","",IF(V81&lt;=0,"Dans les délais","Hors délais")))</f>
        <v>Hors délais</v>
      </c>
    </row>
    <row r="82" spans="1:23">
      <c r="A82" s="11">
        <v>66</v>
      </c>
      <c r="B82" s="12">
        <v>46051</v>
      </c>
      <c r="C82" s="13" t="s">
        <v>247</v>
      </c>
      <c r="D82" s="13" t="s">
        <v>248</v>
      </c>
      <c r="E82" s="13" t="s">
        <v>249</v>
      </c>
      <c r="F82" s="13" t="s">
        <v>250</v>
      </c>
      <c r="G82" s="11" t="s">
        <v>39</v>
      </c>
      <c r="H82" s="11">
        <f>IFERROR(VLOOKUP(G82,Paramètres!$B$6:$F$8,2,FALSE()),"")</f>
        <v>5</v>
      </c>
      <c r="I82" s="13" t="s">
        <v>120</v>
      </c>
      <c r="J82" s="11" t="s">
        <v>48</v>
      </c>
      <c r="K82" s="12">
        <v>46052</v>
      </c>
      <c r="L82" s="12">
        <v>46052</v>
      </c>
      <c r="M82" s="13" t="s">
        <v>86</v>
      </c>
      <c r="N82" s="14" t="s">
        <v>121</v>
      </c>
      <c r="O82" s="12">
        <v>46062</v>
      </c>
      <c r="P82" s="11">
        <f t="shared" si="6"/>
        <v>11</v>
      </c>
      <c r="Q82" s="11" t="str">
        <f t="shared" ca="1" si="7"/>
        <v>-</v>
      </c>
      <c r="R82" s="11">
        <f>IFERROR(VLOOKUP(G82,Paramètres!$B$6:$F$8,3,FALSE()),"")</f>
        <v>2</v>
      </c>
      <c r="S82" s="11" t="str">
        <f t="shared" ca="1" si="8"/>
        <v>-</v>
      </c>
      <c r="T82" s="12">
        <v>46064</v>
      </c>
      <c r="U82" s="11">
        <f t="shared" si="9"/>
        <v>2</v>
      </c>
      <c r="V82" s="11">
        <f t="shared" si="10"/>
        <v>6</v>
      </c>
      <c r="W82" s="11" t="str">
        <f t="shared" si="11"/>
        <v>Hors délais</v>
      </c>
    </row>
    <row r="83" spans="1:23">
      <c r="A83" s="11">
        <v>67</v>
      </c>
      <c r="B83" s="12">
        <v>46052</v>
      </c>
      <c r="C83" s="13" t="s">
        <v>251</v>
      </c>
      <c r="D83" s="13" t="s">
        <v>37</v>
      </c>
      <c r="E83" s="13"/>
      <c r="F83" s="13" t="s">
        <v>252</v>
      </c>
      <c r="G83" s="11" t="s">
        <v>39</v>
      </c>
      <c r="H83" s="11">
        <f>IFERROR(VLOOKUP(G83,Paramètres!$B$6:$F$8,2,FALSE()),"")</f>
        <v>5</v>
      </c>
      <c r="I83" s="13" t="s">
        <v>130</v>
      </c>
      <c r="J83" s="11" t="s">
        <v>48</v>
      </c>
      <c r="K83" s="12">
        <v>46052</v>
      </c>
      <c r="L83" s="12">
        <v>46055</v>
      </c>
      <c r="M83" s="13" t="s">
        <v>49</v>
      </c>
      <c r="N83" s="14" t="s">
        <v>186</v>
      </c>
      <c r="O83" s="12">
        <v>46058</v>
      </c>
      <c r="P83" s="11">
        <f t="shared" si="6"/>
        <v>6</v>
      </c>
      <c r="Q83" s="11" t="str">
        <f t="shared" ca="1" si="7"/>
        <v>-</v>
      </c>
      <c r="R83" s="11">
        <f>IFERROR(VLOOKUP(G83,Paramètres!$B$6:$F$8,3,FALSE()),"")</f>
        <v>2</v>
      </c>
      <c r="S83" s="11" t="str">
        <f t="shared" ca="1" si="8"/>
        <v>-</v>
      </c>
      <c r="T83" s="12">
        <v>46063</v>
      </c>
      <c r="U83" s="11">
        <f t="shared" si="9"/>
        <v>5</v>
      </c>
      <c r="V83" s="11">
        <f t="shared" si="10"/>
        <v>4</v>
      </c>
      <c r="W83" s="11" t="str">
        <f t="shared" si="11"/>
        <v>Hors délais</v>
      </c>
    </row>
    <row r="84" spans="1:23">
      <c r="A84" s="11">
        <v>68</v>
      </c>
      <c r="B84" s="12">
        <v>46052</v>
      </c>
      <c r="C84" s="13" t="s">
        <v>253</v>
      </c>
      <c r="D84" s="13" t="s">
        <v>68</v>
      </c>
      <c r="E84" s="13" t="s">
        <v>254</v>
      </c>
      <c r="F84" s="13" t="s">
        <v>255</v>
      </c>
      <c r="G84" s="11" t="s">
        <v>39</v>
      </c>
      <c r="H84" s="11">
        <f>IFERROR(VLOOKUP(G84,Paramètres!$B$6:$F$8,2,FALSE()),"")</f>
        <v>5</v>
      </c>
      <c r="I84" s="13" t="s">
        <v>185</v>
      </c>
      <c r="J84" s="11" t="s">
        <v>48</v>
      </c>
      <c r="K84" s="12">
        <v>46055</v>
      </c>
      <c r="L84" s="12">
        <v>46056</v>
      </c>
      <c r="M84" s="13"/>
      <c r="N84" s="14" t="s">
        <v>186</v>
      </c>
      <c r="O84" s="12">
        <v>46059</v>
      </c>
      <c r="P84" s="11">
        <f t="shared" si="6"/>
        <v>7</v>
      </c>
      <c r="Q84" s="11" t="str">
        <f t="shared" ca="1" si="7"/>
        <v>-</v>
      </c>
      <c r="R84" s="11">
        <f>IFERROR(VLOOKUP(G84,Paramètres!$B$6:$F$8,3,FALSE()),"")</f>
        <v>2</v>
      </c>
      <c r="S84" s="11" t="str">
        <f t="shared" ca="1" si="8"/>
        <v>-</v>
      </c>
      <c r="T84" s="12">
        <v>46062</v>
      </c>
      <c r="U84" s="11">
        <f t="shared" si="9"/>
        <v>3</v>
      </c>
      <c r="V84" s="11">
        <f t="shared" si="10"/>
        <v>3</v>
      </c>
      <c r="W84" s="11" t="str">
        <f t="shared" si="11"/>
        <v>Hors délais</v>
      </c>
    </row>
    <row r="85" spans="1:23" ht="28.5">
      <c r="A85" s="11">
        <v>69</v>
      </c>
      <c r="B85" s="12">
        <v>46052</v>
      </c>
      <c r="C85" s="13" t="s">
        <v>256</v>
      </c>
      <c r="D85" s="13" t="s">
        <v>59</v>
      </c>
      <c r="E85" s="13" t="s">
        <v>257</v>
      </c>
      <c r="F85" s="13" t="s">
        <v>258</v>
      </c>
      <c r="G85" s="11" t="s">
        <v>53</v>
      </c>
      <c r="H85" s="11" t="str">
        <f>IFERROR(VLOOKUP(G85,Paramètres!$B$6:$F$8,2,FALSE()),"")</f>
        <v>N/A</v>
      </c>
      <c r="I85" s="13" t="s">
        <v>74</v>
      </c>
      <c r="J85" s="11" t="s">
        <v>41</v>
      </c>
      <c r="K85" s="12">
        <v>46052</v>
      </c>
      <c r="L85" s="12">
        <v>46055</v>
      </c>
      <c r="M85" s="13" t="s">
        <v>75</v>
      </c>
      <c r="N85" s="14" t="s">
        <v>43</v>
      </c>
      <c r="O85" s="12"/>
      <c r="P85" s="11" t="str">
        <f t="shared" si="6"/>
        <v>-</v>
      </c>
      <c r="Q85" s="11" t="str">
        <f t="shared" ca="1" si="7"/>
        <v>-</v>
      </c>
      <c r="R85" s="11" t="str">
        <f>IFERROR(VLOOKUP(G85,Paramètres!$B$6:$F$8,3,FALSE()),"")</f>
        <v>N/A</v>
      </c>
      <c r="S85" s="11" t="str">
        <f t="shared" ca="1" si="8"/>
        <v>-</v>
      </c>
      <c r="T85" s="12"/>
      <c r="U85" s="11" t="str">
        <f t="shared" si="9"/>
        <v>-</v>
      </c>
      <c r="V85" s="11" t="str">
        <f t="shared" si="10"/>
        <v>-</v>
      </c>
      <c r="W85" s="11" t="str">
        <f t="shared" si="11"/>
        <v>Ne nécessite pas de réponse</v>
      </c>
    </row>
    <row r="86" spans="1:23">
      <c r="A86" s="11">
        <v>70</v>
      </c>
      <c r="B86" s="12">
        <v>46055</v>
      </c>
      <c r="C86" s="13" t="s">
        <v>259</v>
      </c>
      <c r="D86" s="13" t="s">
        <v>45</v>
      </c>
      <c r="E86" s="13" t="s">
        <v>260</v>
      </c>
      <c r="F86" s="13" t="s">
        <v>261</v>
      </c>
      <c r="G86" s="11" t="s">
        <v>53</v>
      </c>
      <c r="H86" s="11" t="str">
        <f>IFERROR(VLOOKUP(G86,Paramètres!$B$6:$F$8,2,FALSE()),"")</f>
        <v>N/A</v>
      </c>
      <c r="I86" s="13" t="s">
        <v>47</v>
      </c>
      <c r="J86" s="11" t="s">
        <v>48</v>
      </c>
      <c r="K86" s="12">
        <v>46055</v>
      </c>
      <c r="L86" s="12">
        <v>46055</v>
      </c>
      <c r="M86" s="13"/>
      <c r="N86" s="14" t="s">
        <v>121</v>
      </c>
      <c r="O86" s="12"/>
      <c r="P86" s="11" t="str">
        <f t="shared" si="6"/>
        <v>-</v>
      </c>
      <c r="Q86" s="11" t="str">
        <f t="shared" ca="1" si="7"/>
        <v>-</v>
      </c>
      <c r="R86" s="11" t="str">
        <f>IFERROR(VLOOKUP(G86,Paramètres!$B$6:$F$8,3,FALSE()),"")</f>
        <v>N/A</v>
      </c>
      <c r="S86" s="11" t="str">
        <f t="shared" ca="1" si="8"/>
        <v>-</v>
      </c>
      <c r="T86" s="12"/>
      <c r="U86" s="11" t="str">
        <f t="shared" si="9"/>
        <v>-</v>
      </c>
      <c r="V86" s="11" t="str">
        <f t="shared" si="10"/>
        <v>-</v>
      </c>
      <c r="W86" s="11" t="str">
        <f t="shared" si="11"/>
        <v>Ne nécessite pas de réponse</v>
      </c>
    </row>
    <row r="87" spans="1:23">
      <c r="A87" s="11">
        <v>71</v>
      </c>
      <c r="B87" s="12">
        <v>46055</v>
      </c>
      <c r="C87" s="13" t="s">
        <v>262</v>
      </c>
      <c r="D87" s="13" t="s">
        <v>37</v>
      </c>
      <c r="E87" s="13"/>
      <c r="F87" s="13" t="s">
        <v>263</v>
      </c>
      <c r="G87" s="11" t="s">
        <v>39</v>
      </c>
      <c r="H87" s="11">
        <f>IFERROR(VLOOKUP(G87,Paramètres!$B$6:$F$8,2,FALSE()),"")</f>
        <v>5</v>
      </c>
      <c r="I87" s="13" t="s">
        <v>71</v>
      </c>
      <c r="J87" s="11" t="s">
        <v>41</v>
      </c>
      <c r="K87" s="12">
        <v>46055</v>
      </c>
      <c r="L87" s="12">
        <v>46055</v>
      </c>
      <c r="M87" s="13" t="s">
        <v>86</v>
      </c>
      <c r="N87" s="14" t="s">
        <v>87</v>
      </c>
      <c r="O87" s="12">
        <v>46059</v>
      </c>
      <c r="P87" s="11">
        <f t="shared" si="6"/>
        <v>4</v>
      </c>
      <c r="Q87" s="11" t="str">
        <f t="shared" ca="1" si="7"/>
        <v>-</v>
      </c>
      <c r="R87" s="11">
        <f>IFERROR(VLOOKUP(G87,Paramètres!$B$6:$F$8,3,FALSE()),"")</f>
        <v>2</v>
      </c>
      <c r="S87" s="11" t="str">
        <f t="shared" ca="1" si="8"/>
        <v>-</v>
      </c>
      <c r="T87" s="12">
        <v>46062</v>
      </c>
      <c r="U87" s="11">
        <f t="shared" si="9"/>
        <v>3</v>
      </c>
      <c r="V87" s="11">
        <f t="shared" si="10"/>
        <v>0</v>
      </c>
      <c r="W87" s="11" t="str">
        <f t="shared" si="11"/>
        <v>Dans les délais</v>
      </c>
    </row>
    <row r="88" spans="1:23">
      <c r="A88" s="11">
        <v>72</v>
      </c>
      <c r="B88" s="12">
        <v>46055</v>
      </c>
      <c r="C88" s="13" t="s">
        <v>264</v>
      </c>
      <c r="D88" s="13" t="s">
        <v>81</v>
      </c>
      <c r="E88" s="13"/>
      <c r="F88" s="13" t="s">
        <v>265</v>
      </c>
      <c r="G88" s="11" t="s">
        <v>84</v>
      </c>
      <c r="H88" s="11">
        <f>IFERROR(VLOOKUP(G88,Paramètres!$B$6:$F$8,2,FALSE()),"")</f>
        <v>5</v>
      </c>
      <c r="I88" s="13" t="s">
        <v>232</v>
      </c>
      <c r="J88" s="11" t="s">
        <v>55</v>
      </c>
      <c r="K88" s="12">
        <v>46055</v>
      </c>
      <c r="L88" s="12">
        <v>46055</v>
      </c>
      <c r="M88" s="13" t="s">
        <v>86</v>
      </c>
      <c r="N88" s="14" t="s">
        <v>57</v>
      </c>
      <c r="O88" s="12">
        <v>46063</v>
      </c>
      <c r="P88" s="11">
        <f t="shared" si="6"/>
        <v>8</v>
      </c>
      <c r="Q88" s="11" t="str">
        <f t="shared" ca="1" si="7"/>
        <v>-</v>
      </c>
      <c r="R88" s="11">
        <f>IFERROR(VLOOKUP(G88,Paramètres!$B$6:$F$8,3,FALSE()),"")</f>
        <v>2</v>
      </c>
      <c r="S88" s="11" t="str">
        <f t="shared" ca="1" si="8"/>
        <v>-</v>
      </c>
      <c r="T88" s="12">
        <v>46065</v>
      </c>
      <c r="U88" s="11">
        <f t="shared" si="9"/>
        <v>2</v>
      </c>
      <c r="V88" s="11">
        <f t="shared" si="10"/>
        <v>3</v>
      </c>
      <c r="W88" s="11" t="str">
        <f t="shared" si="11"/>
        <v>Hors délais</v>
      </c>
    </row>
    <row r="89" spans="1:23">
      <c r="A89" s="11">
        <v>73</v>
      </c>
      <c r="B89" s="12">
        <v>46056</v>
      </c>
      <c r="C89" s="13" t="s">
        <v>266</v>
      </c>
      <c r="D89" s="13" t="s">
        <v>137</v>
      </c>
      <c r="E89" s="13"/>
      <c r="F89" s="13" t="s">
        <v>267</v>
      </c>
      <c r="G89" s="11" t="s">
        <v>53</v>
      </c>
      <c r="H89" s="11" t="str">
        <f>IFERROR(VLOOKUP(G89,Paramètres!$B$6:$F$8,2,FALSE()),"")</f>
        <v>N/A</v>
      </c>
      <c r="I89" s="13" t="s">
        <v>94</v>
      </c>
      <c r="J89" s="11" t="s">
        <v>55</v>
      </c>
      <c r="K89" s="12">
        <v>46056</v>
      </c>
      <c r="L89" s="12">
        <v>46057</v>
      </c>
      <c r="M89" s="13" t="s">
        <v>42</v>
      </c>
      <c r="N89" s="14" t="s">
        <v>102</v>
      </c>
      <c r="O89" s="12"/>
      <c r="P89" s="11" t="str">
        <f t="shared" si="6"/>
        <v>-</v>
      </c>
      <c r="Q89" s="11" t="str">
        <f t="shared" ca="1" si="7"/>
        <v>-</v>
      </c>
      <c r="R89" s="11" t="str">
        <f>IFERROR(VLOOKUP(G89,Paramètres!$B$6:$F$8,3,FALSE()),"")</f>
        <v>N/A</v>
      </c>
      <c r="S89" s="11" t="str">
        <f t="shared" ca="1" si="8"/>
        <v>-</v>
      </c>
      <c r="T89" s="12"/>
      <c r="U89" s="11" t="str">
        <f t="shared" si="9"/>
        <v>-</v>
      </c>
      <c r="V89" s="11" t="str">
        <f t="shared" si="10"/>
        <v>-</v>
      </c>
      <c r="W89" s="11" t="str">
        <f t="shared" si="11"/>
        <v>Ne nécessite pas de réponse</v>
      </c>
    </row>
    <row r="90" spans="1:23">
      <c r="A90" s="11">
        <v>74</v>
      </c>
      <c r="B90" s="12">
        <v>46056</v>
      </c>
      <c r="C90" s="13" t="s">
        <v>268</v>
      </c>
      <c r="D90" s="13" t="s">
        <v>59</v>
      </c>
      <c r="E90" s="13" t="s">
        <v>269</v>
      </c>
      <c r="F90" s="13" t="s">
        <v>270</v>
      </c>
      <c r="G90" s="11" t="s">
        <v>39</v>
      </c>
      <c r="H90" s="11">
        <f>IFERROR(VLOOKUP(G90,Paramètres!$B$6:$F$8,2,FALSE()),"")</f>
        <v>5</v>
      </c>
      <c r="I90" s="13" t="s">
        <v>240</v>
      </c>
      <c r="J90" s="11" t="s">
        <v>55</v>
      </c>
      <c r="K90" s="12">
        <v>46057</v>
      </c>
      <c r="L90" s="12">
        <v>46058</v>
      </c>
      <c r="M90" s="13" t="s">
        <v>86</v>
      </c>
      <c r="N90" s="14" t="s">
        <v>102</v>
      </c>
      <c r="O90" s="12">
        <v>46058</v>
      </c>
      <c r="P90" s="11">
        <f t="shared" si="6"/>
        <v>2</v>
      </c>
      <c r="Q90" s="11" t="str">
        <f t="shared" ca="1" si="7"/>
        <v>-</v>
      </c>
      <c r="R90" s="11">
        <f>IFERROR(VLOOKUP(G90,Paramètres!$B$6:$F$8,3,FALSE()),"")</f>
        <v>2</v>
      </c>
      <c r="S90" s="11" t="str">
        <f t="shared" ca="1" si="8"/>
        <v>-</v>
      </c>
      <c r="T90" s="12">
        <v>46059</v>
      </c>
      <c r="U90" s="11">
        <f t="shared" si="9"/>
        <v>1</v>
      </c>
      <c r="V90" s="11">
        <f t="shared" si="10"/>
        <v>-4</v>
      </c>
      <c r="W90" s="11" t="str">
        <f t="shared" si="11"/>
        <v>Dans les délais</v>
      </c>
    </row>
    <row r="91" spans="1:23">
      <c r="A91" s="11">
        <v>75</v>
      </c>
      <c r="B91" s="12">
        <v>46056</v>
      </c>
      <c r="C91" s="13" t="s">
        <v>271</v>
      </c>
      <c r="D91" s="13" t="s">
        <v>145</v>
      </c>
      <c r="E91" s="13"/>
      <c r="F91" s="13" t="s">
        <v>272</v>
      </c>
      <c r="G91" s="11" t="s">
        <v>53</v>
      </c>
      <c r="H91" s="11" t="str">
        <f>IFERROR(VLOOKUP(G91,Paramètres!$B$6:$F$8,2,FALSE()),"")</f>
        <v>N/A</v>
      </c>
      <c r="I91" s="13" t="s">
        <v>228</v>
      </c>
      <c r="J91" s="11" t="s">
        <v>55</v>
      </c>
      <c r="K91" s="12">
        <v>46057</v>
      </c>
      <c r="L91" s="12">
        <v>46057</v>
      </c>
      <c r="M91" s="13" t="s">
        <v>42</v>
      </c>
      <c r="N91" s="14" t="s">
        <v>66</v>
      </c>
      <c r="O91" s="12"/>
      <c r="P91" s="11" t="str">
        <f t="shared" si="6"/>
        <v>-</v>
      </c>
      <c r="Q91" s="11" t="str">
        <f t="shared" ca="1" si="7"/>
        <v>-</v>
      </c>
      <c r="R91" s="11" t="str">
        <f>IFERROR(VLOOKUP(G91,Paramètres!$B$6:$F$8,3,FALSE()),"")</f>
        <v>N/A</v>
      </c>
      <c r="S91" s="11" t="str">
        <f t="shared" ca="1" si="8"/>
        <v>-</v>
      </c>
      <c r="T91" s="12"/>
      <c r="U91" s="11" t="str">
        <f t="shared" si="9"/>
        <v>-</v>
      </c>
      <c r="V91" s="11" t="str">
        <f t="shared" si="10"/>
        <v>-</v>
      </c>
      <c r="W91" s="11" t="str">
        <f t="shared" si="11"/>
        <v>Ne nécessite pas de réponse</v>
      </c>
    </row>
    <row r="92" spans="1:23">
      <c r="A92" s="11">
        <v>76</v>
      </c>
      <c r="B92" s="12">
        <v>46057</v>
      </c>
      <c r="C92" s="13" t="s">
        <v>273</v>
      </c>
      <c r="D92" s="13" t="s">
        <v>175</v>
      </c>
      <c r="E92" s="13" t="s">
        <v>274</v>
      </c>
      <c r="F92" s="13" t="s">
        <v>275</v>
      </c>
      <c r="G92" s="11" t="s">
        <v>39</v>
      </c>
      <c r="H92" s="11">
        <f>IFERROR(VLOOKUP(G92,Paramètres!$B$6:$F$8,2,FALSE()),"")</f>
        <v>5</v>
      </c>
      <c r="I92" s="13" t="s">
        <v>228</v>
      </c>
      <c r="J92" s="11" t="s">
        <v>55</v>
      </c>
      <c r="K92" s="12">
        <v>46057</v>
      </c>
      <c r="L92" s="12">
        <v>46058</v>
      </c>
      <c r="M92" s="13" t="s">
        <v>61</v>
      </c>
      <c r="N92" s="14" t="s">
        <v>66</v>
      </c>
      <c r="O92" s="12">
        <v>46062</v>
      </c>
      <c r="P92" s="11">
        <f t="shared" si="6"/>
        <v>5</v>
      </c>
      <c r="Q92" s="11" t="str">
        <f t="shared" ca="1" si="7"/>
        <v>-</v>
      </c>
      <c r="R92" s="11">
        <f>IFERROR(VLOOKUP(G92,Paramètres!$B$6:$F$8,3,FALSE()),"")</f>
        <v>2</v>
      </c>
      <c r="S92" s="11" t="str">
        <f t="shared" ca="1" si="8"/>
        <v>-</v>
      </c>
      <c r="T92" s="12">
        <v>46064</v>
      </c>
      <c r="U92" s="11">
        <f t="shared" si="9"/>
        <v>2</v>
      </c>
      <c r="V92" s="11">
        <f t="shared" si="10"/>
        <v>0</v>
      </c>
      <c r="W92" s="11" t="str">
        <f t="shared" si="11"/>
        <v>Dans les délais</v>
      </c>
    </row>
    <row r="93" spans="1:23">
      <c r="A93" s="11">
        <v>77</v>
      </c>
      <c r="B93" s="12">
        <v>46057</v>
      </c>
      <c r="C93" s="13" t="s">
        <v>276</v>
      </c>
      <c r="D93" s="13" t="s">
        <v>37</v>
      </c>
      <c r="E93" s="13"/>
      <c r="F93" s="13" t="s">
        <v>277</v>
      </c>
      <c r="G93" s="11" t="s">
        <v>39</v>
      </c>
      <c r="H93" s="11">
        <f>IFERROR(VLOOKUP(G93,Paramètres!$B$6:$F$8,2,FALSE()),"")</f>
        <v>5</v>
      </c>
      <c r="I93" s="13" t="s">
        <v>98</v>
      </c>
      <c r="J93" s="11" t="s">
        <v>41</v>
      </c>
      <c r="K93" s="12">
        <v>46057</v>
      </c>
      <c r="L93" s="12">
        <v>46058</v>
      </c>
      <c r="M93" s="13" t="s">
        <v>86</v>
      </c>
      <c r="N93" s="14" t="s">
        <v>43</v>
      </c>
      <c r="O93" s="12">
        <v>46064</v>
      </c>
      <c r="P93" s="11">
        <f t="shared" si="6"/>
        <v>7</v>
      </c>
      <c r="Q93" s="11" t="str">
        <f t="shared" ca="1" si="7"/>
        <v>-</v>
      </c>
      <c r="R93" s="11">
        <f>IFERROR(VLOOKUP(G93,Paramètres!$B$6:$F$8,3,FALSE()),"")</f>
        <v>2</v>
      </c>
      <c r="S93" s="11" t="str">
        <f t="shared" ca="1" si="8"/>
        <v>-</v>
      </c>
      <c r="T93" s="12">
        <v>46065</v>
      </c>
      <c r="U93" s="11">
        <f t="shared" si="9"/>
        <v>1</v>
      </c>
      <c r="V93" s="11">
        <f t="shared" si="10"/>
        <v>1</v>
      </c>
      <c r="W93" s="11" t="str">
        <f t="shared" si="11"/>
        <v>Hors délais</v>
      </c>
    </row>
    <row r="94" spans="1:23">
      <c r="A94" s="11">
        <v>78</v>
      </c>
      <c r="B94" s="12">
        <v>46058</v>
      </c>
      <c r="C94" s="13" t="s">
        <v>278</v>
      </c>
      <c r="D94" s="13" t="s">
        <v>230</v>
      </c>
      <c r="E94" s="13"/>
      <c r="F94" s="13" t="s">
        <v>279</v>
      </c>
      <c r="G94" s="11" t="s">
        <v>84</v>
      </c>
      <c r="H94" s="11">
        <f>IFERROR(VLOOKUP(G94,Paramètres!$B$6:$F$8,2,FALSE()),"")</f>
        <v>5</v>
      </c>
      <c r="I94" s="13" t="s">
        <v>94</v>
      </c>
      <c r="J94" s="11" t="s">
        <v>55</v>
      </c>
      <c r="K94" s="12">
        <v>46059</v>
      </c>
      <c r="L94" s="12">
        <v>46059</v>
      </c>
      <c r="M94" s="13"/>
      <c r="N94" s="14" t="s">
        <v>57</v>
      </c>
      <c r="O94" s="12">
        <v>46063</v>
      </c>
      <c r="P94" s="11">
        <f t="shared" si="6"/>
        <v>5</v>
      </c>
      <c r="Q94" s="11" t="str">
        <f t="shared" ca="1" si="7"/>
        <v>-</v>
      </c>
      <c r="R94" s="11">
        <f>IFERROR(VLOOKUP(G94,Paramètres!$B$6:$F$8,3,FALSE()),"")</f>
        <v>2</v>
      </c>
      <c r="S94" s="11" t="str">
        <f t="shared" ca="1" si="8"/>
        <v>-</v>
      </c>
      <c r="T94" s="12">
        <v>46063</v>
      </c>
      <c r="U94" s="11">
        <f t="shared" si="9"/>
        <v>0</v>
      </c>
      <c r="V94" s="11">
        <f t="shared" si="10"/>
        <v>-2</v>
      </c>
      <c r="W94" s="11" t="str">
        <f t="shared" si="11"/>
        <v>Dans les délais</v>
      </c>
    </row>
    <row r="95" spans="1:23">
      <c r="A95" s="11">
        <v>79</v>
      </c>
      <c r="B95" s="12">
        <v>46058</v>
      </c>
      <c r="C95" s="13" t="s">
        <v>280</v>
      </c>
      <c r="D95" s="13" t="s">
        <v>68</v>
      </c>
      <c r="E95" s="13"/>
      <c r="F95" s="13" t="s">
        <v>281</v>
      </c>
      <c r="G95" s="11" t="s">
        <v>39</v>
      </c>
      <c r="H95" s="11">
        <f>IFERROR(VLOOKUP(G95,Paramètres!$B$6:$F$8,2,FALSE()),"")</f>
        <v>5</v>
      </c>
      <c r="I95" s="13" t="s">
        <v>155</v>
      </c>
      <c r="J95" s="11" t="s">
        <v>48</v>
      </c>
      <c r="K95" s="12">
        <v>46058</v>
      </c>
      <c r="L95" s="12">
        <v>46058</v>
      </c>
      <c r="M95" s="13" t="s">
        <v>42</v>
      </c>
      <c r="N95" s="14" t="s">
        <v>121</v>
      </c>
      <c r="O95" s="12">
        <v>46064</v>
      </c>
      <c r="P95" s="11">
        <f t="shared" si="6"/>
        <v>6</v>
      </c>
      <c r="Q95" s="11" t="str">
        <f t="shared" ca="1" si="7"/>
        <v>-</v>
      </c>
      <c r="R95" s="11">
        <f>IFERROR(VLOOKUP(G95,Paramètres!$B$6:$F$8,3,FALSE()),"")</f>
        <v>2</v>
      </c>
      <c r="S95" s="11" t="str">
        <f t="shared" ca="1" si="8"/>
        <v>-</v>
      </c>
      <c r="T95" s="12">
        <v>46065</v>
      </c>
      <c r="U95" s="11">
        <f t="shared" si="9"/>
        <v>1</v>
      </c>
      <c r="V95" s="11">
        <f t="shared" si="10"/>
        <v>0</v>
      </c>
      <c r="W95" s="11" t="str">
        <f t="shared" si="11"/>
        <v>Dans les délais</v>
      </c>
    </row>
    <row r="96" spans="1:23">
      <c r="A96" s="11">
        <v>80</v>
      </c>
      <c r="B96" s="12">
        <v>46058</v>
      </c>
      <c r="C96" s="13" t="s">
        <v>282</v>
      </c>
      <c r="D96" s="13" t="s">
        <v>68</v>
      </c>
      <c r="E96" s="13" t="s">
        <v>283</v>
      </c>
      <c r="F96" s="13" t="s">
        <v>284</v>
      </c>
      <c r="G96" s="11" t="s">
        <v>53</v>
      </c>
      <c r="H96" s="11" t="str">
        <f>IFERROR(VLOOKUP(G96,Paramètres!$B$6:$F$8,2,FALSE()),"")</f>
        <v>N/A</v>
      </c>
      <c r="I96" s="13" t="s">
        <v>54</v>
      </c>
      <c r="J96" s="11" t="s">
        <v>55</v>
      </c>
      <c r="K96" s="12">
        <v>46059</v>
      </c>
      <c r="L96" s="12">
        <v>46059</v>
      </c>
      <c r="M96" s="13" t="s">
        <v>86</v>
      </c>
      <c r="N96" s="14" t="s">
        <v>102</v>
      </c>
      <c r="O96" s="12"/>
      <c r="P96" s="11" t="str">
        <f t="shared" si="6"/>
        <v>-</v>
      </c>
      <c r="Q96" s="11" t="str">
        <f t="shared" ca="1" si="7"/>
        <v>-</v>
      </c>
      <c r="R96" s="11" t="str">
        <f>IFERROR(VLOOKUP(G96,Paramètres!$B$6:$F$8,3,FALSE()),"")</f>
        <v>N/A</v>
      </c>
      <c r="S96" s="11" t="str">
        <f t="shared" ca="1" si="8"/>
        <v>-</v>
      </c>
      <c r="T96" s="12"/>
      <c r="U96" s="11" t="str">
        <f t="shared" si="9"/>
        <v>-</v>
      </c>
      <c r="V96" s="11" t="str">
        <f t="shared" si="10"/>
        <v>-</v>
      </c>
      <c r="W96" s="11" t="str">
        <f t="shared" si="11"/>
        <v>Ne nécessite pas de réponse</v>
      </c>
    </row>
    <row r="97" spans="1:23">
      <c r="A97" s="11">
        <v>81</v>
      </c>
      <c r="B97" s="12">
        <v>46058</v>
      </c>
      <c r="C97" s="13" t="s">
        <v>285</v>
      </c>
      <c r="D97" s="13" t="s">
        <v>175</v>
      </c>
      <c r="E97" s="13" t="s">
        <v>286</v>
      </c>
      <c r="F97" s="13" t="s">
        <v>287</v>
      </c>
      <c r="G97" s="11" t="s">
        <v>53</v>
      </c>
      <c r="H97" s="11" t="str">
        <f>IFERROR(VLOOKUP(G97,Paramètres!$B$6:$F$8,2,FALSE()),"")</f>
        <v>N/A</v>
      </c>
      <c r="I97" s="13" t="s">
        <v>155</v>
      </c>
      <c r="J97" s="11" t="s">
        <v>48</v>
      </c>
      <c r="K97" s="12">
        <v>46059</v>
      </c>
      <c r="L97" s="12">
        <v>46062</v>
      </c>
      <c r="M97" s="13" t="s">
        <v>56</v>
      </c>
      <c r="N97" s="14" t="s">
        <v>186</v>
      </c>
      <c r="O97" s="12"/>
      <c r="P97" s="11" t="str">
        <f t="shared" si="6"/>
        <v>-</v>
      </c>
      <c r="Q97" s="11" t="str">
        <f t="shared" ca="1" si="7"/>
        <v>-</v>
      </c>
      <c r="R97" s="11" t="str">
        <f>IFERROR(VLOOKUP(G97,Paramètres!$B$6:$F$8,3,FALSE()),"")</f>
        <v>N/A</v>
      </c>
      <c r="S97" s="11" t="str">
        <f t="shared" ca="1" si="8"/>
        <v>-</v>
      </c>
      <c r="T97" s="12"/>
      <c r="U97" s="11" t="str">
        <f t="shared" si="9"/>
        <v>-</v>
      </c>
      <c r="V97" s="11" t="str">
        <f t="shared" si="10"/>
        <v>-</v>
      </c>
      <c r="W97" s="11" t="str">
        <f t="shared" si="11"/>
        <v>Ne nécessite pas de réponse</v>
      </c>
    </row>
    <row r="98" spans="1:23">
      <c r="A98" s="11">
        <v>82</v>
      </c>
      <c r="B98" s="12">
        <v>46058</v>
      </c>
      <c r="C98" s="13" t="s">
        <v>288</v>
      </c>
      <c r="D98" s="13" t="s">
        <v>178</v>
      </c>
      <c r="E98" s="13"/>
      <c r="F98" s="13" t="s">
        <v>289</v>
      </c>
      <c r="G98" s="11" t="s">
        <v>39</v>
      </c>
      <c r="H98" s="11">
        <f>IFERROR(VLOOKUP(G98,Paramètres!$B$6:$F$8,2,FALSE()),"")</f>
        <v>5</v>
      </c>
      <c r="I98" s="13" t="s">
        <v>185</v>
      </c>
      <c r="J98" s="11" t="s">
        <v>48</v>
      </c>
      <c r="K98" s="12">
        <v>46058</v>
      </c>
      <c r="L98" s="12">
        <v>46058</v>
      </c>
      <c r="M98" s="13" t="s">
        <v>61</v>
      </c>
      <c r="N98" s="14" t="s">
        <v>121</v>
      </c>
      <c r="O98" s="12">
        <v>46064</v>
      </c>
      <c r="P98" s="11">
        <f t="shared" si="6"/>
        <v>6</v>
      </c>
      <c r="Q98" s="11" t="str">
        <f t="shared" ca="1" si="7"/>
        <v>-</v>
      </c>
      <c r="R98" s="11">
        <f>IFERROR(VLOOKUP(G98,Paramètres!$B$6:$F$8,3,FALSE()),"")</f>
        <v>2</v>
      </c>
      <c r="S98" s="11" t="str">
        <f t="shared" ca="1" si="8"/>
        <v>-</v>
      </c>
      <c r="T98" s="12">
        <v>46065</v>
      </c>
      <c r="U98" s="11">
        <f t="shared" si="9"/>
        <v>1</v>
      </c>
      <c r="V98" s="11">
        <f t="shared" si="10"/>
        <v>0</v>
      </c>
      <c r="W98" s="11" t="str">
        <f t="shared" si="11"/>
        <v>Dans les délais</v>
      </c>
    </row>
    <row r="99" spans="1:23">
      <c r="A99" s="11">
        <v>83</v>
      </c>
      <c r="B99" s="12">
        <v>46058</v>
      </c>
      <c r="C99" s="13" t="s">
        <v>290</v>
      </c>
      <c r="D99" s="13" t="s">
        <v>137</v>
      </c>
      <c r="E99" s="13" t="s">
        <v>291</v>
      </c>
      <c r="F99" s="13" t="s">
        <v>292</v>
      </c>
      <c r="G99" s="11" t="s">
        <v>39</v>
      </c>
      <c r="H99" s="11">
        <f>IFERROR(VLOOKUP(G99,Paramètres!$B$6:$F$8,2,FALSE()),"")</f>
        <v>5</v>
      </c>
      <c r="I99" s="13" t="s">
        <v>54</v>
      </c>
      <c r="J99" s="11" t="s">
        <v>55</v>
      </c>
      <c r="K99" s="12">
        <v>46058</v>
      </c>
      <c r="L99" s="12">
        <v>46059</v>
      </c>
      <c r="M99" s="13"/>
      <c r="N99" s="14" t="s">
        <v>66</v>
      </c>
      <c r="O99" s="12">
        <v>46066</v>
      </c>
      <c r="P99" s="11">
        <f t="shared" si="6"/>
        <v>8</v>
      </c>
      <c r="Q99" s="11" t="str">
        <f t="shared" ca="1" si="7"/>
        <v>-</v>
      </c>
      <c r="R99" s="11">
        <f>IFERROR(VLOOKUP(G99,Paramètres!$B$6:$F$8,3,FALSE()),"")</f>
        <v>2</v>
      </c>
      <c r="S99" s="11" t="str">
        <f t="shared" ca="1" si="8"/>
        <v>-</v>
      </c>
      <c r="T99" s="12">
        <v>46070</v>
      </c>
      <c r="U99" s="11">
        <f t="shared" si="9"/>
        <v>4</v>
      </c>
      <c r="V99" s="11">
        <f t="shared" si="10"/>
        <v>5</v>
      </c>
      <c r="W99" s="11" t="str">
        <f t="shared" si="11"/>
        <v>Hors délais</v>
      </c>
    </row>
    <row r="100" spans="1:23">
      <c r="A100" s="11">
        <v>84</v>
      </c>
      <c r="B100" s="12">
        <v>46058</v>
      </c>
      <c r="C100" s="13" t="s">
        <v>293</v>
      </c>
      <c r="D100" s="13" t="s">
        <v>89</v>
      </c>
      <c r="E100" s="13"/>
      <c r="F100" s="13" t="s">
        <v>294</v>
      </c>
      <c r="G100" s="11" t="s">
        <v>53</v>
      </c>
      <c r="H100" s="11" t="str">
        <f>IFERROR(VLOOKUP(G100,Paramètres!$B$6:$F$8,2,FALSE()),"")</f>
        <v>N/A</v>
      </c>
      <c r="I100" s="13" t="s">
        <v>98</v>
      </c>
      <c r="J100" s="11" t="s">
        <v>41</v>
      </c>
      <c r="K100" s="12">
        <v>46058</v>
      </c>
      <c r="L100" s="12">
        <v>46058</v>
      </c>
      <c r="M100" s="13" t="s">
        <v>86</v>
      </c>
      <c r="N100" s="14" t="s">
        <v>43</v>
      </c>
      <c r="O100" s="12"/>
      <c r="P100" s="11" t="str">
        <f t="shared" si="6"/>
        <v>-</v>
      </c>
      <c r="Q100" s="11" t="str">
        <f t="shared" ca="1" si="7"/>
        <v>-</v>
      </c>
      <c r="R100" s="11" t="str">
        <f>IFERROR(VLOOKUP(G100,Paramètres!$B$6:$F$8,3,FALSE()),"")</f>
        <v>N/A</v>
      </c>
      <c r="S100" s="11" t="str">
        <f t="shared" ca="1" si="8"/>
        <v>-</v>
      </c>
      <c r="T100" s="12"/>
      <c r="U100" s="11" t="str">
        <f t="shared" si="9"/>
        <v>-</v>
      </c>
      <c r="V100" s="11" t="str">
        <f t="shared" si="10"/>
        <v>-</v>
      </c>
      <c r="W100" s="11" t="str">
        <f t="shared" si="11"/>
        <v>Ne nécessite pas de réponse</v>
      </c>
    </row>
    <row r="101" spans="1:23">
      <c r="A101" s="11">
        <v>85</v>
      </c>
      <c r="B101" s="12">
        <v>46059</v>
      </c>
      <c r="C101" s="13" t="s">
        <v>295</v>
      </c>
      <c r="D101" s="13" t="s">
        <v>68</v>
      </c>
      <c r="E101" s="13" t="s">
        <v>296</v>
      </c>
      <c r="F101" s="13" t="s">
        <v>297</v>
      </c>
      <c r="G101" s="11" t="s">
        <v>39</v>
      </c>
      <c r="H101" s="11">
        <f>IFERROR(VLOOKUP(G101,Paramètres!$B$6:$F$8,2,FALSE()),"")</f>
        <v>5</v>
      </c>
      <c r="I101" s="13" t="s">
        <v>65</v>
      </c>
      <c r="J101" s="11" t="s">
        <v>55</v>
      </c>
      <c r="K101" s="12">
        <v>46062</v>
      </c>
      <c r="L101" s="12">
        <v>46062</v>
      </c>
      <c r="M101" s="13" t="s">
        <v>61</v>
      </c>
      <c r="N101" s="14" t="s">
        <v>66</v>
      </c>
      <c r="O101" s="12">
        <v>46064</v>
      </c>
      <c r="P101" s="11">
        <f t="shared" si="6"/>
        <v>5</v>
      </c>
      <c r="Q101" s="11" t="str">
        <f t="shared" ca="1" si="7"/>
        <v>-</v>
      </c>
      <c r="R101" s="11">
        <f>IFERROR(VLOOKUP(G101,Paramètres!$B$6:$F$8,3,FALSE()),"")</f>
        <v>2</v>
      </c>
      <c r="S101" s="11" t="str">
        <f t="shared" ca="1" si="8"/>
        <v>-</v>
      </c>
      <c r="T101" s="12">
        <v>46066</v>
      </c>
      <c r="U101" s="11">
        <f t="shared" si="9"/>
        <v>2</v>
      </c>
      <c r="V101" s="11">
        <f t="shared" si="10"/>
        <v>0</v>
      </c>
      <c r="W101" s="11" t="str">
        <f t="shared" si="11"/>
        <v>Dans les délais</v>
      </c>
    </row>
    <row r="102" spans="1:23">
      <c r="A102" s="11">
        <v>86</v>
      </c>
      <c r="B102" s="12">
        <v>46059</v>
      </c>
      <c r="C102" s="13" t="s">
        <v>298</v>
      </c>
      <c r="D102" s="13" t="s">
        <v>248</v>
      </c>
      <c r="E102" s="13" t="s">
        <v>299</v>
      </c>
      <c r="F102" s="13" t="s">
        <v>300</v>
      </c>
      <c r="G102" s="11" t="s">
        <v>39</v>
      </c>
      <c r="H102" s="11">
        <f>IFERROR(VLOOKUP(G102,Paramètres!$B$6:$F$8,2,FALSE()),"")</f>
        <v>5</v>
      </c>
      <c r="I102" s="13" t="s">
        <v>65</v>
      </c>
      <c r="J102" s="11" t="s">
        <v>55</v>
      </c>
      <c r="K102" s="12">
        <v>46059</v>
      </c>
      <c r="L102" s="12">
        <v>46059</v>
      </c>
      <c r="M102" s="13" t="s">
        <v>86</v>
      </c>
      <c r="N102" s="14" t="s">
        <v>66</v>
      </c>
      <c r="O102" s="12">
        <v>46065</v>
      </c>
      <c r="P102" s="11">
        <f t="shared" si="6"/>
        <v>6</v>
      </c>
      <c r="Q102" s="11" t="str">
        <f t="shared" ca="1" si="7"/>
        <v>-</v>
      </c>
      <c r="R102" s="11">
        <f>IFERROR(VLOOKUP(G102,Paramètres!$B$6:$F$8,3,FALSE()),"")</f>
        <v>2</v>
      </c>
      <c r="S102" s="11" t="str">
        <f t="shared" ca="1" si="8"/>
        <v>-</v>
      </c>
      <c r="T102" s="12">
        <v>46069</v>
      </c>
      <c r="U102" s="11">
        <f t="shared" si="9"/>
        <v>4</v>
      </c>
      <c r="V102" s="11">
        <f t="shared" si="10"/>
        <v>3</v>
      </c>
      <c r="W102" s="11" t="str">
        <f t="shared" si="11"/>
        <v>Hors délais</v>
      </c>
    </row>
    <row r="103" spans="1:23">
      <c r="A103" s="11">
        <v>87</v>
      </c>
      <c r="B103" s="12">
        <v>46059</v>
      </c>
      <c r="C103" s="13" t="s">
        <v>301</v>
      </c>
      <c r="D103" s="13" t="s">
        <v>81</v>
      </c>
      <c r="E103" s="13" t="s">
        <v>302</v>
      </c>
      <c r="F103" s="13" t="s">
        <v>303</v>
      </c>
      <c r="G103" s="11" t="s">
        <v>39</v>
      </c>
      <c r="H103" s="11">
        <f>IFERROR(VLOOKUP(G103,Paramètres!$B$6:$F$8,2,FALSE()),"")</f>
        <v>5</v>
      </c>
      <c r="I103" s="13" t="s">
        <v>108</v>
      </c>
      <c r="J103" s="11" t="s">
        <v>55</v>
      </c>
      <c r="K103" s="12">
        <v>46059</v>
      </c>
      <c r="L103" s="12">
        <v>46059</v>
      </c>
      <c r="M103" s="13"/>
      <c r="N103" s="14" t="s">
        <v>102</v>
      </c>
      <c r="O103" s="12">
        <v>46069</v>
      </c>
      <c r="P103" s="11">
        <f t="shared" si="6"/>
        <v>10</v>
      </c>
      <c r="Q103" s="11" t="str">
        <f t="shared" ca="1" si="7"/>
        <v>-</v>
      </c>
      <c r="R103" s="11">
        <f>IFERROR(VLOOKUP(G103,Paramètres!$B$6:$F$8,3,FALSE()),"")</f>
        <v>2</v>
      </c>
      <c r="S103" s="11" t="str">
        <f t="shared" ca="1" si="8"/>
        <v>-</v>
      </c>
      <c r="T103" s="12">
        <v>46072</v>
      </c>
      <c r="U103" s="11">
        <f t="shared" si="9"/>
        <v>3</v>
      </c>
      <c r="V103" s="11">
        <f t="shared" si="10"/>
        <v>6</v>
      </c>
      <c r="W103" s="11" t="str">
        <f t="shared" si="11"/>
        <v>Hors délais</v>
      </c>
    </row>
    <row r="104" spans="1:23">
      <c r="A104" s="11">
        <v>88</v>
      </c>
      <c r="B104" s="12">
        <v>46063</v>
      </c>
      <c r="C104" s="13" t="s">
        <v>304</v>
      </c>
      <c r="D104" s="13" t="s">
        <v>178</v>
      </c>
      <c r="E104" s="13" t="s">
        <v>305</v>
      </c>
      <c r="F104" s="13" t="s">
        <v>306</v>
      </c>
      <c r="G104" s="11" t="s">
        <v>39</v>
      </c>
      <c r="H104" s="11">
        <f>IFERROR(VLOOKUP(G104,Paramètres!$B$6:$F$8,2,FALSE()),"")</f>
        <v>5</v>
      </c>
      <c r="I104" s="13" t="s">
        <v>232</v>
      </c>
      <c r="J104" s="11" t="s">
        <v>55</v>
      </c>
      <c r="K104" s="12">
        <v>46064</v>
      </c>
      <c r="L104" s="12">
        <v>46065</v>
      </c>
      <c r="M104" s="13"/>
      <c r="N104" s="14" t="s">
        <v>102</v>
      </c>
      <c r="O104" s="12">
        <v>46071</v>
      </c>
      <c r="P104" s="11">
        <f t="shared" si="6"/>
        <v>8</v>
      </c>
      <c r="Q104" s="11" t="str">
        <f t="shared" ca="1" si="7"/>
        <v>-</v>
      </c>
      <c r="R104" s="11">
        <f>IFERROR(VLOOKUP(G104,Paramètres!$B$6:$F$8,3,FALSE()),"")</f>
        <v>2</v>
      </c>
      <c r="S104" s="11" t="str">
        <f t="shared" ca="1" si="8"/>
        <v>-</v>
      </c>
      <c r="T104" s="12">
        <v>46072</v>
      </c>
      <c r="U104" s="11">
        <f t="shared" si="9"/>
        <v>1</v>
      </c>
      <c r="V104" s="11">
        <f t="shared" si="10"/>
        <v>2</v>
      </c>
      <c r="W104" s="11" t="str">
        <f t="shared" si="11"/>
        <v>Hors délais</v>
      </c>
    </row>
    <row r="105" spans="1:23">
      <c r="A105" s="11">
        <v>89</v>
      </c>
      <c r="B105" s="12">
        <v>46063</v>
      </c>
      <c r="C105" s="13" t="s">
        <v>307</v>
      </c>
      <c r="D105" s="13" t="s">
        <v>59</v>
      </c>
      <c r="E105" s="13"/>
      <c r="F105" s="13" t="s">
        <v>308</v>
      </c>
      <c r="G105" s="11" t="s">
        <v>39</v>
      </c>
      <c r="H105" s="11">
        <f>IFERROR(VLOOKUP(G105,Paramètres!$B$6:$F$8,2,FALSE()),"")</f>
        <v>5</v>
      </c>
      <c r="I105" s="13" t="s">
        <v>168</v>
      </c>
      <c r="J105" s="11" t="s">
        <v>48</v>
      </c>
      <c r="K105" s="12">
        <v>46063</v>
      </c>
      <c r="L105" s="12">
        <v>46063</v>
      </c>
      <c r="M105" s="13" t="s">
        <v>56</v>
      </c>
      <c r="N105" s="14" t="s">
        <v>121</v>
      </c>
      <c r="O105" s="12">
        <v>46072</v>
      </c>
      <c r="P105" s="11">
        <f t="shared" si="6"/>
        <v>9</v>
      </c>
      <c r="Q105" s="11" t="str">
        <f t="shared" ca="1" si="7"/>
        <v>-</v>
      </c>
      <c r="R105" s="11">
        <f>IFERROR(VLOOKUP(G105,Paramètres!$B$6:$F$8,3,FALSE()),"")</f>
        <v>2</v>
      </c>
      <c r="S105" s="11" t="str">
        <f t="shared" ca="1" si="8"/>
        <v>-</v>
      </c>
      <c r="T105" s="12">
        <v>46076</v>
      </c>
      <c r="U105" s="11">
        <f t="shared" si="9"/>
        <v>4</v>
      </c>
      <c r="V105" s="11">
        <f t="shared" si="10"/>
        <v>6</v>
      </c>
      <c r="W105" s="11" t="str">
        <f t="shared" si="11"/>
        <v>Hors délais</v>
      </c>
    </row>
    <row r="106" spans="1:23">
      <c r="A106" s="11">
        <v>90</v>
      </c>
      <c r="B106" s="12">
        <v>46063</v>
      </c>
      <c r="C106" s="13" t="s">
        <v>309</v>
      </c>
      <c r="D106" s="13" t="s">
        <v>68</v>
      </c>
      <c r="E106" s="13"/>
      <c r="F106" s="13" t="s">
        <v>310</v>
      </c>
      <c r="G106" s="11" t="s">
        <v>39</v>
      </c>
      <c r="H106" s="11">
        <f>IFERROR(VLOOKUP(G106,Paramètres!$B$6:$F$8,2,FALSE()),"")</f>
        <v>5</v>
      </c>
      <c r="I106" s="13" t="s">
        <v>168</v>
      </c>
      <c r="J106" s="11" t="s">
        <v>48</v>
      </c>
      <c r="K106" s="12">
        <v>46064</v>
      </c>
      <c r="L106" s="12">
        <v>46064</v>
      </c>
      <c r="M106" s="13" t="s">
        <v>61</v>
      </c>
      <c r="N106" s="14" t="s">
        <v>50</v>
      </c>
      <c r="O106" s="12">
        <v>46065</v>
      </c>
      <c r="P106" s="11">
        <f t="shared" si="6"/>
        <v>2</v>
      </c>
      <c r="Q106" s="11" t="str">
        <f t="shared" ca="1" si="7"/>
        <v>-</v>
      </c>
      <c r="R106" s="11">
        <f>IFERROR(VLOOKUP(G106,Paramètres!$B$6:$F$8,3,FALSE()),"")</f>
        <v>2</v>
      </c>
      <c r="S106" s="11" t="str">
        <f t="shared" ca="1" si="8"/>
        <v>-</v>
      </c>
      <c r="T106" s="12">
        <v>46069</v>
      </c>
      <c r="U106" s="11">
        <f t="shared" si="9"/>
        <v>4</v>
      </c>
      <c r="V106" s="11">
        <f t="shared" si="10"/>
        <v>-1</v>
      </c>
      <c r="W106" s="11" t="str">
        <f t="shared" si="11"/>
        <v>Dans les délais</v>
      </c>
    </row>
    <row r="107" spans="1:23">
      <c r="A107" s="11">
        <v>91</v>
      </c>
      <c r="B107" s="12">
        <v>46063</v>
      </c>
      <c r="C107" s="13" t="s">
        <v>311</v>
      </c>
      <c r="D107" s="13" t="s">
        <v>59</v>
      </c>
      <c r="E107" s="13" t="s">
        <v>312</v>
      </c>
      <c r="F107" s="13" t="s">
        <v>313</v>
      </c>
      <c r="G107" s="11" t="s">
        <v>39</v>
      </c>
      <c r="H107" s="11">
        <f>IFERROR(VLOOKUP(G107,Paramètres!$B$6:$F$8,2,FALSE()),"")</f>
        <v>5</v>
      </c>
      <c r="I107" s="13" t="s">
        <v>94</v>
      </c>
      <c r="J107" s="11" t="s">
        <v>55</v>
      </c>
      <c r="K107" s="12">
        <v>46064</v>
      </c>
      <c r="L107" s="12">
        <v>46064</v>
      </c>
      <c r="M107" s="13" t="s">
        <v>61</v>
      </c>
      <c r="N107" s="14" t="s">
        <v>102</v>
      </c>
      <c r="O107" s="12">
        <v>46069</v>
      </c>
      <c r="P107" s="11">
        <f t="shared" si="6"/>
        <v>6</v>
      </c>
      <c r="Q107" s="11" t="str">
        <f t="shared" ca="1" si="7"/>
        <v>-</v>
      </c>
      <c r="R107" s="11">
        <f>IFERROR(VLOOKUP(G107,Paramètres!$B$6:$F$8,3,FALSE()),"")</f>
        <v>2</v>
      </c>
      <c r="S107" s="11" t="str">
        <f t="shared" ca="1" si="8"/>
        <v>-</v>
      </c>
      <c r="T107" s="12">
        <v>46076</v>
      </c>
      <c r="U107" s="11">
        <f t="shared" si="9"/>
        <v>7</v>
      </c>
      <c r="V107" s="11">
        <f t="shared" si="10"/>
        <v>6</v>
      </c>
      <c r="W107" s="11" t="str">
        <f t="shared" si="11"/>
        <v>Hors délais</v>
      </c>
    </row>
    <row r="108" spans="1:23">
      <c r="A108" s="11">
        <v>92</v>
      </c>
      <c r="B108" s="12">
        <v>46064</v>
      </c>
      <c r="C108" s="13" t="s">
        <v>314</v>
      </c>
      <c r="D108" s="13" t="s">
        <v>115</v>
      </c>
      <c r="E108" s="13"/>
      <c r="F108" s="13" t="s">
        <v>315</v>
      </c>
      <c r="G108" s="11" t="s">
        <v>39</v>
      </c>
      <c r="H108" s="11">
        <f>IFERROR(VLOOKUP(G108,Paramètres!$B$6:$F$8,2,FALSE()),"")</f>
        <v>5</v>
      </c>
      <c r="I108" s="13" t="s">
        <v>85</v>
      </c>
      <c r="J108" s="11" t="s">
        <v>41</v>
      </c>
      <c r="K108" s="12">
        <v>46064</v>
      </c>
      <c r="L108" s="12">
        <v>46064</v>
      </c>
      <c r="M108" s="13" t="s">
        <v>56</v>
      </c>
      <c r="N108" s="14" t="s">
        <v>87</v>
      </c>
      <c r="O108" s="12"/>
      <c r="P108" s="11" t="str">
        <f t="shared" si="6"/>
        <v/>
      </c>
      <c r="Q108" s="11" t="str">
        <f t="shared" ca="1" si="7"/>
        <v>ROUGE</v>
      </c>
      <c r="R108" s="11">
        <f>IFERROR(VLOOKUP(G108,Paramètres!$B$6:$F$8,3,FALSE()),"")</f>
        <v>2</v>
      </c>
      <c r="S108" s="11" t="str">
        <f t="shared" ca="1" si="8"/>
        <v/>
      </c>
      <c r="T108" s="12"/>
      <c r="U108" s="11" t="str">
        <f t="shared" si="9"/>
        <v/>
      </c>
      <c r="V108" s="11" t="str">
        <f t="shared" si="10"/>
        <v/>
      </c>
      <c r="W108" s="11" t="str">
        <f t="shared" si="11"/>
        <v/>
      </c>
    </row>
    <row r="109" spans="1:23" ht="28.5">
      <c r="A109" s="11">
        <v>93</v>
      </c>
      <c r="B109" s="12">
        <v>46064</v>
      </c>
      <c r="C109" s="13" t="s">
        <v>316</v>
      </c>
      <c r="D109" s="13" t="s">
        <v>100</v>
      </c>
      <c r="E109" s="13" t="s">
        <v>317</v>
      </c>
      <c r="F109" s="13" t="s">
        <v>318</v>
      </c>
      <c r="G109" s="11" t="s">
        <v>39</v>
      </c>
      <c r="H109" s="11">
        <f>IFERROR(VLOOKUP(G109,Paramètres!$B$6:$F$8,2,FALSE()),"")</f>
        <v>5</v>
      </c>
      <c r="I109" s="13" t="s">
        <v>85</v>
      </c>
      <c r="J109" s="11" t="s">
        <v>41</v>
      </c>
      <c r="K109" s="12">
        <v>46065</v>
      </c>
      <c r="L109" s="12">
        <v>46065</v>
      </c>
      <c r="M109" s="13" t="s">
        <v>75</v>
      </c>
      <c r="N109" s="14" t="s">
        <v>76</v>
      </c>
      <c r="O109" s="12">
        <v>46072</v>
      </c>
      <c r="P109" s="11">
        <f t="shared" si="6"/>
        <v>8</v>
      </c>
      <c r="Q109" s="11" t="str">
        <f t="shared" ca="1" si="7"/>
        <v>-</v>
      </c>
      <c r="R109" s="11">
        <f>IFERROR(VLOOKUP(G109,Paramètres!$B$6:$F$8,3,FALSE()),"")</f>
        <v>2</v>
      </c>
      <c r="S109" s="11" t="str">
        <f t="shared" ca="1" si="8"/>
        <v>-</v>
      </c>
      <c r="T109" s="12">
        <v>46077</v>
      </c>
      <c r="U109" s="11">
        <f t="shared" si="9"/>
        <v>5</v>
      </c>
      <c r="V109" s="11">
        <f t="shared" si="10"/>
        <v>6</v>
      </c>
      <c r="W109" s="11" t="str">
        <f t="shared" si="11"/>
        <v>Hors délais</v>
      </c>
    </row>
    <row r="110" spans="1:23" ht="28.5">
      <c r="A110" s="11">
        <v>94</v>
      </c>
      <c r="B110" s="12">
        <v>46064</v>
      </c>
      <c r="C110" s="13" t="s">
        <v>319</v>
      </c>
      <c r="D110" s="13" t="s">
        <v>230</v>
      </c>
      <c r="E110" s="13"/>
      <c r="F110" s="13" t="s">
        <v>320</v>
      </c>
      <c r="G110" s="11" t="s">
        <v>39</v>
      </c>
      <c r="H110" s="11">
        <f>IFERROR(VLOOKUP(G110,Paramètres!$B$6:$F$8,2,FALSE()),"")</f>
        <v>5</v>
      </c>
      <c r="I110" s="13" t="s">
        <v>94</v>
      </c>
      <c r="J110" s="11" t="s">
        <v>55</v>
      </c>
      <c r="K110" s="12">
        <v>46064</v>
      </c>
      <c r="L110" s="12">
        <v>46064</v>
      </c>
      <c r="M110" s="13" t="s">
        <v>75</v>
      </c>
      <c r="N110" s="14" t="s">
        <v>102</v>
      </c>
      <c r="O110" s="12">
        <v>46070</v>
      </c>
      <c r="P110" s="11">
        <f t="shared" si="6"/>
        <v>6</v>
      </c>
      <c r="Q110" s="11" t="str">
        <f t="shared" ca="1" si="7"/>
        <v>-</v>
      </c>
      <c r="R110" s="11">
        <f>IFERROR(VLOOKUP(G110,Paramètres!$B$6:$F$8,3,FALSE()),"")</f>
        <v>2</v>
      </c>
      <c r="S110" s="11" t="str">
        <f t="shared" ca="1" si="8"/>
        <v>-</v>
      </c>
      <c r="T110" s="12">
        <v>46072</v>
      </c>
      <c r="U110" s="11">
        <f t="shared" si="9"/>
        <v>2</v>
      </c>
      <c r="V110" s="11">
        <f t="shared" si="10"/>
        <v>1</v>
      </c>
      <c r="W110" s="11" t="str">
        <f t="shared" si="11"/>
        <v>Hors délais</v>
      </c>
    </row>
    <row r="111" spans="1:23">
      <c r="A111" s="11">
        <v>95</v>
      </c>
      <c r="B111" s="12">
        <v>46065</v>
      </c>
      <c r="C111" s="13" t="s">
        <v>321</v>
      </c>
      <c r="D111" s="13" t="s">
        <v>63</v>
      </c>
      <c r="E111" s="13" t="s">
        <v>322</v>
      </c>
      <c r="F111" s="13" t="s">
        <v>323</v>
      </c>
      <c r="G111" s="11" t="s">
        <v>39</v>
      </c>
      <c r="H111" s="11">
        <f>IFERROR(VLOOKUP(G111,Paramètres!$B$6:$F$8,2,FALSE()),"")</f>
        <v>5</v>
      </c>
      <c r="I111" s="13" t="s">
        <v>85</v>
      </c>
      <c r="J111" s="11" t="s">
        <v>41</v>
      </c>
      <c r="K111" s="12">
        <v>46066</v>
      </c>
      <c r="L111" s="12">
        <v>46066</v>
      </c>
      <c r="M111" s="13"/>
      <c r="N111" s="14" t="s">
        <v>76</v>
      </c>
      <c r="O111" s="12">
        <v>46072</v>
      </c>
      <c r="P111" s="11">
        <f t="shared" si="6"/>
        <v>7</v>
      </c>
      <c r="Q111" s="11" t="str">
        <f t="shared" ca="1" si="7"/>
        <v>-</v>
      </c>
      <c r="R111" s="11">
        <f>IFERROR(VLOOKUP(G111,Paramètres!$B$6:$F$8,3,FALSE()),"")</f>
        <v>2</v>
      </c>
      <c r="S111" s="11" t="str">
        <f t="shared" ca="1" si="8"/>
        <v>-</v>
      </c>
      <c r="T111" s="12">
        <v>46077</v>
      </c>
      <c r="U111" s="11">
        <f t="shared" si="9"/>
        <v>5</v>
      </c>
      <c r="V111" s="11">
        <f t="shared" si="10"/>
        <v>5</v>
      </c>
      <c r="W111" s="11" t="str">
        <f t="shared" si="11"/>
        <v>Hors délais</v>
      </c>
    </row>
    <row r="112" spans="1:23">
      <c r="A112" s="11">
        <v>96</v>
      </c>
      <c r="B112" s="12">
        <v>46065</v>
      </c>
      <c r="C112" s="13" t="s">
        <v>324</v>
      </c>
      <c r="D112" s="13" t="s">
        <v>145</v>
      </c>
      <c r="E112" s="13" t="s">
        <v>325</v>
      </c>
      <c r="F112" s="13" t="s">
        <v>326</v>
      </c>
      <c r="G112" s="11" t="s">
        <v>84</v>
      </c>
      <c r="H112" s="11">
        <f>IFERROR(VLOOKUP(G112,Paramètres!$B$6:$F$8,2,FALSE()),"")</f>
        <v>5</v>
      </c>
      <c r="I112" s="13" t="s">
        <v>74</v>
      </c>
      <c r="J112" s="11" t="s">
        <v>41</v>
      </c>
      <c r="K112" s="12">
        <v>46065</v>
      </c>
      <c r="L112" s="12">
        <v>46066</v>
      </c>
      <c r="M112" s="13" t="s">
        <v>56</v>
      </c>
      <c r="N112" s="14" t="s">
        <v>43</v>
      </c>
      <c r="O112" s="12">
        <v>46069</v>
      </c>
      <c r="P112" s="11">
        <f t="shared" si="6"/>
        <v>4</v>
      </c>
      <c r="Q112" s="11" t="str">
        <f t="shared" ca="1" si="7"/>
        <v>-</v>
      </c>
      <c r="R112" s="11">
        <f>IFERROR(VLOOKUP(G112,Paramètres!$B$6:$F$8,3,FALSE()),"")</f>
        <v>2</v>
      </c>
      <c r="S112" s="11" t="str">
        <f t="shared" ca="1" si="8"/>
        <v>-</v>
      </c>
      <c r="T112" s="12">
        <v>46070</v>
      </c>
      <c r="U112" s="11">
        <f t="shared" si="9"/>
        <v>1</v>
      </c>
      <c r="V112" s="11">
        <f t="shared" si="10"/>
        <v>-2</v>
      </c>
      <c r="W112" s="11" t="str">
        <f t="shared" si="11"/>
        <v>Dans les délais</v>
      </c>
    </row>
    <row r="113" spans="1:23">
      <c r="A113" s="11">
        <v>97</v>
      </c>
      <c r="B113" s="12">
        <v>46065</v>
      </c>
      <c r="C113" s="13" t="s">
        <v>327</v>
      </c>
      <c r="D113" s="13" t="s">
        <v>248</v>
      </c>
      <c r="E113" s="13" t="s">
        <v>328</v>
      </c>
      <c r="F113" s="13" t="s">
        <v>329</v>
      </c>
      <c r="G113" s="11" t="s">
        <v>39</v>
      </c>
      <c r="H113" s="11">
        <f>IFERROR(VLOOKUP(G113,Paramètres!$B$6:$F$8,2,FALSE()),"")</f>
        <v>5</v>
      </c>
      <c r="I113" s="13" t="s">
        <v>98</v>
      </c>
      <c r="J113" s="11" t="s">
        <v>41</v>
      </c>
      <c r="K113" s="12">
        <v>46066</v>
      </c>
      <c r="L113" s="12">
        <v>46069</v>
      </c>
      <c r="M113" s="13"/>
      <c r="N113" s="14" t="s">
        <v>76</v>
      </c>
      <c r="O113" s="12">
        <v>46070</v>
      </c>
      <c r="P113" s="11">
        <f t="shared" si="6"/>
        <v>5</v>
      </c>
      <c r="Q113" s="11" t="str">
        <f t="shared" ca="1" si="7"/>
        <v>-</v>
      </c>
      <c r="R113" s="11">
        <f>IFERROR(VLOOKUP(G113,Paramètres!$B$6:$F$8,3,FALSE()),"")</f>
        <v>2</v>
      </c>
      <c r="S113" s="11" t="str">
        <f t="shared" ca="1" si="8"/>
        <v>-</v>
      </c>
      <c r="T113" s="12">
        <v>46070</v>
      </c>
      <c r="U113" s="11">
        <f t="shared" si="9"/>
        <v>0</v>
      </c>
      <c r="V113" s="11">
        <f t="shared" si="10"/>
        <v>-2</v>
      </c>
      <c r="W113" s="11" t="str">
        <f t="shared" si="11"/>
        <v>Dans les délais</v>
      </c>
    </row>
    <row r="114" spans="1:23">
      <c r="A114" s="11">
        <v>98</v>
      </c>
      <c r="B114" s="12">
        <v>46066</v>
      </c>
      <c r="C114" s="13" t="s">
        <v>330</v>
      </c>
      <c r="D114" s="13" t="s">
        <v>115</v>
      </c>
      <c r="E114" s="13" t="s">
        <v>331</v>
      </c>
      <c r="F114" s="13" t="s">
        <v>332</v>
      </c>
      <c r="G114" s="11" t="s">
        <v>84</v>
      </c>
      <c r="H114" s="11">
        <f>IFERROR(VLOOKUP(G114,Paramètres!$B$6:$F$8,2,FALSE()),"")</f>
        <v>5</v>
      </c>
      <c r="I114" s="13" t="s">
        <v>91</v>
      </c>
      <c r="J114" s="11" t="s">
        <v>41</v>
      </c>
      <c r="K114" s="12">
        <v>46066</v>
      </c>
      <c r="L114" s="12">
        <v>46066</v>
      </c>
      <c r="M114" s="13" t="s">
        <v>86</v>
      </c>
      <c r="N114" s="14" t="s">
        <v>43</v>
      </c>
      <c r="O114" s="12">
        <v>46072</v>
      </c>
      <c r="P114" s="11">
        <f t="shared" si="6"/>
        <v>6</v>
      </c>
      <c r="Q114" s="11" t="str">
        <f t="shared" ca="1" si="7"/>
        <v>-</v>
      </c>
      <c r="R114" s="11">
        <f>IFERROR(VLOOKUP(G114,Paramètres!$B$6:$F$8,3,FALSE()),"")</f>
        <v>2</v>
      </c>
      <c r="S114" s="11" t="str">
        <f t="shared" ca="1" si="8"/>
        <v>-</v>
      </c>
      <c r="T114" s="12">
        <v>46073</v>
      </c>
      <c r="U114" s="11">
        <f t="shared" si="9"/>
        <v>1</v>
      </c>
      <c r="V114" s="11">
        <f t="shared" si="10"/>
        <v>0</v>
      </c>
      <c r="W114" s="11" t="str">
        <f t="shared" si="11"/>
        <v>Dans les délais</v>
      </c>
    </row>
    <row r="115" spans="1:23">
      <c r="A115" s="11">
        <v>99</v>
      </c>
      <c r="B115" s="12">
        <v>46066</v>
      </c>
      <c r="C115" s="13" t="s">
        <v>333</v>
      </c>
      <c r="D115" s="13" t="s">
        <v>248</v>
      </c>
      <c r="E115" s="13" t="s">
        <v>334</v>
      </c>
      <c r="F115" s="13" t="s">
        <v>335</v>
      </c>
      <c r="G115" s="11" t="s">
        <v>53</v>
      </c>
      <c r="H115" s="11" t="str">
        <f>IFERROR(VLOOKUP(G115,Paramètres!$B$6:$F$8,2,FALSE()),"")</f>
        <v>N/A</v>
      </c>
      <c r="I115" s="13" t="s">
        <v>130</v>
      </c>
      <c r="J115" s="11" t="s">
        <v>48</v>
      </c>
      <c r="K115" s="12">
        <v>46066</v>
      </c>
      <c r="L115" s="12">
        <v>46066</v>
      </c>
      <c r="M115" s="13" t="s">
        <v>86</v>
      </c>
      <c r="N115" s="14" t="s">
        <v>50</v>
      </c>
      <c r="O115" s="12"/>
      <c r="P115" s="11" t="str">
        <f t="shared" si="6"/>
        <v>-</v>
      </c>
      <c r="Q115" s="11" t="str">
        <f t="shared" ca="1" si="7"/>
        <v>-</v>
      </c>
      <c r="R115" s="11" t="str">
        <f>IFERROR(VLOOKUP(G115,Paramètres!$B$6:$F$8,3,FALSE()),"")</f>
        <v>N/A</v>
      </c>
      <c r="S115" s="11" t="str">
        <f t="shared" ca="1" si="8"/>
        <v>-</v>
      </c>
      <c r="T115" s="12"/>
      <c r="U115" s="11" t="str">
        <f t="shared" si="9"/>
        <v>-</v>
      </c>
      <c r="V115" s="11" t="str">
        <f t="shared" si="10"/>
        <v>-</v>
      </c>
      <c r="W115" s="11" t="str">
        <f t="shared" si="11"/>
        <v>Ne nécessite pas de réponse</v>
      </c>
    </row>
    <row r="116" spans="1:23">
      <c r="A116" s="11">
        <v>100</v>
      </c>
      <c r="B116" s="12">
        <v>46066</v>
      </c>
      <c r="C116" s="13" t="s">
        <v>336</v>
      </c>
      <c r="D116" s="13" t="s">
        <v>175</v>
      </c>
      <c r="E116" s="13" t="s">
        <v>337</v>
      </c>
      <c r="F116" s="13" t="s">
        <v>338</v>
      </c>
      <c r="G116" s="11" t="s">
        <v>39</v>
      </c>
      <c r="H116" s="11">
        <f>IFERROR(VLOOKUP(G116,Paramètres!$B$6:$F$8,2,FALSE()),"")</f>
        <v>5</v>
      </c>
      <c r="I116" s="13" t="s">
        <v>98</v>
      </c>
      <c r="J116" s="11" t="s">
        <v>41</v>
      </c>
      <c r="K116" s="12">
        <v>46066</v>
      </c>
      <c r="L116" s="12">
        <v>46066</v>
      </c>
      <c r="M116" s="13"/>
      <c r="N116" s="14" t="s">
        <v>87</v>
      </c>
      <c r="O116" s="12">
        <v>46071</v>
      </c>
      <c r="P116" s="11">
        <f t="shared" si="6"/>
        <v>5</v>
      </c>
      <c r="Q116" s="11" t="str">
        <f t="shared" ca="1" si="7"/>
        <v>-</v>
      </c>
      <c r="R116" s="11">
        <f>IFERROR(VLOOKUP(G116,Paramètres!$B$6:$F$8,3,FALSE()),"")</f>
        <v>2</v>
      </c>
      <c r="S116" s="11" t="str">
        <f t="shared" ca="1" si="8"/>
        <v>-</v>
      </c>
      <c r="T116" s="12">
        <v>46071</v>
      </c>
      <c r="U116" s="11">
        <f t="shared" si="9"/>
        <v>0</v>
      </c>
      <c r="V116" s="11">
        <f t="shared" si="10"/>
        <v>-2</v>
      </c>
      <c r="W116" s="11" t="str">
        <f t="shared" si="11"/>
        <v>Dans les délais</v>
      </c>
    </row>
    <row r="117" spans="1:23">
      <c r="A117" s="11">
        <v>101</v>
      </c>
      <c r="B117" s="12">
        <v>46066</v>
      </c>
      <c r="C117" s="13" t="s">
        <v>339</v>
      </c>
      <c r="D117" s="13" t="s">
        <v>68</v>
      </c>
      <c r="E117" s="13"/>
      <c r="F117" s="13" t="s">
        <v>340</v>
      </c>
      <c r="G117" s="11" t="s">
        <v>84</v>
      </c>
      <c r="H117" s="11">
        <f>IFERROR(VLOOKUP(G117,Paramètres!$B$6:$F$8,2,FALSE()),"")</f>
        <v>5</v>
      </c>
      <c r="I117" s="13" t="s">
        <v>185</v>
      </c>
      <c r="J117" s="11" t="s">
        <v>48</v>
      </c>
      <c r="K117" s="12">
        <v>46066</v>
      </c>
      <c r="L117" s="12">
        <v>46069</v>
      </c>
      <c r="M117" s="13"/>
      <c r="N117" s="14" t="s">
        <v>50</v>
      </c>
      <c r="O117" s="12">
        <v>46071</v>
      </c>
      <c r="P117" s="11">
        <f t="shared" si="6"/>
        <v>5</v>
      </c>
      <c r="Q117" s="11" t="str">
        <f t="shared" ca="1" si="7"/>
        <v>-</v>
      </c>
      <c r="R117" s="11">
        <f>IFERROR(VLOOKUP(G117,Paramètres!$B$6:$F$8,3,FALSE()),"")</f>
        <v>2</v>
      </c>
      <c r="S117" s="11" t="str">
        <f t="shared" ca="1" si="8"/>
        <v>-</v>
      </c>
      <c r="T117" s="12">
        <v>46076</v>
      </c>
      <c r="U117" s="11">
        <f t="shared" si="9"/>
        <v>5</v>
      </c>
      <c r="V117" s="11">
        <f t="shared" si="10"/>
        <v>3</v>
      </c>
      <c r="W117" s="11" t="str">
        <f t="shared" si="11"/>
        <v>Hors délais</v>
      </c>
    </row>
    <row r="118" spans="1:23">
      <c r="A118" s="11">
        <v>102</v>
      </c>
      <c r="B118" s="12">
        <v>46066</v>
      </c>
      <c r="C118" s="13" t="s">
        <v>341</v>
      </c>
      <c r="D118" s="13" t="s">
        <v>45</v>
      </c>
      <c r="E118" s="13" t="s">
        <v>342</v>
      </c>
      <c r="F118" s="13" t="s">
        <v>343</v>
      </c>
      <c r="G118" s="11" t="s">
        <v>53</v>
      </c>
      <c r="H118" s="11" t="str">
        <f>IFERROR(VLOOKUP(G118,Paramètres!$B$6:$F$8,2,FALSE()),"")</f>
        <v>N/A</v>
      </c>
      <c r="I118" s="13" t="s">
        <v>74</v>
      </c>
      <c r="J118" s="11" t="s">
        <v>41</v>
      </c>
      <c r="K118" s="12">
        <v>46066</v>
      </c>
      <c r="L118" s="12">
        <v>46066</v>
      </c>
      <c r="M118" s="13" t="s">
        <v>56</v>
      </c>
      <c r="N118" s="14" t="s">
        <v>87</v>
      </c>
      <c r="O118" s="12"/>
      <c r="P118" s="11" t="str">
        <f t="shared" si="6"/>
        <v>-</v>
      </c>
      <c r="Q118" s="11" t="str">
        <f t="shared" ca="1" si="7"/>
        <v>-</v>
      </c>
      <c r="R118" s="11" t="str">
        <f>IFERROR(VLOOKUP(G118,Paramètres!$B$6:$F$8,3,FALSE()),"")</f>
        <v>N/A</v>
      </c>
      <c r="S118" s="11" t="str">
        <f t="shared" ca="1" si="8"/>
        <v>-</v>
      </c>
      <c r="T118" s="12"/>
      <c r="U118" s="11" t="str">
        <f t="shared" si="9"/>
        <v>-</v>
      </c>
      <c r="V118" s="11" t="str">
        <f t="shared" si="10"/>
        <v>-</v>
      </c>
      <c r="W118" s="11" t="str">
        <f t="shared" si="11"/>
        <v>Ne nécessite pas de réponse</v>
      </c>
    </row>
    <row r="119" spans="1:23">
      <c r="A119" s="11">
        <v>103</v>
      </c>
      <c r="B119" s="12">
        <v>46069</v>
      </c>
      <c r="C119" s="13" t="s">
        <v>344</v>
      </c>
      <c r="D119" s="13" t="s">
        <v>345</v>
      </c>
      <c r="E119" s="13" t="s">
        <v>346</v>
      </c>
      <c r="F119" s="13" t="s">
        <v>347</v>
      </c>
      <c r="G119" s="11" t="s">
        <v>84</v>
      </c>
      <c r="H119" s="11">
        <f>IFERROR(VLOOKUP(G119,Paramètres!$B$6:$F$8,2,FALSE()),"")</f>
        <v>5</v>
      </c>
      <c r="I119" s="13" t="s">
        <v>190</v>
      </c>
      <c r="J119" s="11" t="s">
        <v>48</v>
      </c>
      <c r="K119" s="12">
        <v>46070</v>
      </c>
      <c r="L119" s="12">
        <v>46071</v>
      </c>
      <c r="M119" s="13" t="s">
        <v>86</v>
      </c>
      <c r="N119" s="14" t="s">
        <v>50</v>
      </c>
      <c r="O119" s="12">
        <v>46077</v>
      </c>
      <c r="P119" s="11">
        <f t="shared" si="6"/>
        <v>8</v>
      </c>
      <c r="Q119" s="11" t="str">
        <f t="shared" ca="1" si="7"/>
        <v>-</v>
      </c>
      <c r="R119" s="11">
        <f>IFERROR(VLOOKUP(G119,Paramètres!$B$6:$F$8,3,FALSE()),"")</f>
        <v>2</v>
      </c>
      <c r="S119" s="11" t="str">
        <f t="shared" ca="1" si="8"/>
        <v>-</v>
      </c>
      <c r="T119" s="12">
        <v>46077</v>
      </c>
      <c r="U119" s="11">
        <f t="shared" si="9"/>
        <v>0</v>
      </c>
      <c r="V119" s="11">
        <f t="shared" si="10"/>
        <v>1</v>
      </c>
      <c r="W119" s="11" t="str">
        <f t="shared" si="11"/>
        <v>Hors délais</v>
      </c>
    </row>
    <row r="120" spans="1:23">
      <c r="A120" s="11">
        <v>104</v>
      </c>
      <c r="B120" s="12">
        <v>46069</v>
      </c>
      <c r="C120" s="13" t="s">
        <v>348</v>
      </c>
      <c r="D120" s="13" t="s">
        <v>59</v>
      </c>
      <c r="E120" s="13" t="s">
        <v>349</v>
      </c>
      <c r="F120" s="13" t="s">
        <v>350</v>
      </c>
      <c r="G120" s="11" t="s">
        <v>39</v>
      </c>
      <c r="H120" s="11">
        <f>IFERROR(VLOOKUP(G120,Paramètres!$B$6:$F$8,2,FALSE()),"")</f>
        <v>5</v>
      </c>
      <c r="I120" s="13" t="s">
        <v>108</v>
      </c>
      <c r="J120" s="11" t="s">
        <v>55</v>
      </c>
      <c r="K120" s="12">
        <v>46069</v>
      </c>
      <c r="L120" s="12">
        <v>46069</v>
      </c>
      <c r="M120" s="13"/>
      <c r="N120" s="14" t="s">
        <v>57</v>
      </c>
      <c r="O120" s="12">
        <v>46072</v>
      </c>
      <c r="P120" s="11">
        <f t="shared" si="6"/>
        <v>3</v>
      </c>
      <c r="Q120" s="11" t="str">
        <f t="shared" ca="1" si="7"/>
        <v>-</v>
      </c>
      <c r="R120" s="11">
        <f>IFERROR(VLOOKUP(G120,Paramètres!$B$6:$F$8,3,FALSE()),"")</f>
        <v>2</v>
      </c>
      <c r="S120" s="11" t="str">
        <f t="shared" ca="1" si="8"/>
        <v>-</v>
      </c>
      <c r="T120" s="12">
        <v>46073</v>
      </c>
      <c r="U120" s="11">
        <f t="shared" si="9"/>
        <v>1</v>
      </c>
      <c r="V120" s="11">
        <f t="shared" si="10"/>
        <v>-3</v>
      </c>
      <c r="W120" s="11" t="str">
        <f t="shared" si="11"/>
        <v>Dans les délais</v>
      </c>
    </row>
    <row r="121" spans="1:23" ht="28.5">
      <c r="A121" s="11">
        <v>105</v>
      </c>
      <c r="B121" s="12">
        <v>46069</v>
      </c>
      <c r="C121" s="13" t="s">
        <v>351</v>
      </c>
      <c r="D121" s="13" t="s">
        <v>89</v>
      </c>
      <c r="E121" s="13"/>
      <c r="F121" s="13" t="s">
        <v>352</v>
      </c>
      <c r="G121" s="11" t="s">
        <v>39</v>
      </c>
      <c r="H121" s="11">
        <f>IFERROR(VLOOKUP(G121,Paramètres!$B$6:$F$8,2,FALSE()),"")</f>
        <v>5</v>
      </c>
      <c r="I121" s="13" t="s">
        <v>120</v>
      </c>
      <c r="J121" s="11" t="s">
        <v>48</v>
      </c>
      <c r="K121" s="12">
        <v>46069</v>
      </c>
      <c r="L121" s="12">
        <v>46069</v>
      </c>
      <c r="M121" s="13" t="s">
        <v>75</v>
      </c>
      <c r="N121" s="14" t="s">
        <v>50</v>
      </c>
      <c r="O121" s="12">
        <v>46078</v>
      </c>
      <c r="P121" s="11">
        <f t="shared" si="6"/>
        <v>9</v>
      </c>
      <c r="Q121" s="11" t="str">
        <f t="shared" ca="1" si="7"/>
        <v>-</v>
      </c>
      <c r="R121" s="11">
        <f>IFERROR(VLOOKUP(G121,Paramètres!$B$6:$F$8,3,FALSE()),"")</f>
        <v>2</v>
      </c>
      <c r="S121" s="11" t="str">
        <f t="shared" ca="1" si="8"/>
        <v>-</v>
      </c>
      <c r="T121" s="12">
        <v>46078</v>
      </c>
      <c r="U121" s="11">
        <f t="shared" si="9"/>
        <v>0</v>
      </c>
      <c r="V121" s="11">
        <f t="shared" si="10"/>
        <v>2</v>
      </c>
      <c r="W121" s="11" t="str">
        <f t="shared" si="11"/>
        <v>Hors délais</v>
      </c>
    </row>
    <row r="122" spans="1:23">
      <c r="A122" s="11">
        <v>106</v>
      </c>
      <c r="B122" s="12">
        <v>46069</v>
      </c>
      <c r="C122" s="13" t="s">
        <v>353</v>
      </c>
      <c r="D122" s="13" t="s">
        <v>178</v>
      </c>
      <c r="E122" s="13"/>
      <c r="F122" s="13" t="s">
        <v>354</v>
      </c>
      <c r="G122" s="11" t="s">
        <v>53</v>
      </c>
      <c r="H122" s="11" t="str">
        <f>IFERROR(VLOOKUP(G122,Paramètres!$B$6:$F$8,2,FALSE()),"")</f>
        <v>N/A</v>
      </c>
      <c r="I122" s="13" t="s">
        <v>155</v>
      </c>
      <c r="J122" s="11" t="s">
        <v>48</v>
      </c>
      <c r="K122" s="12">
        <v>46069</v>
      </c>
      <c r="L122" s="12">
        <v>46070</v>
      </c>
      <c r="M122" s="13" t="s">
        <v>61</v>
      </c>
      <c r="N122" s="14" t="s">
        <v>186</v>
      </c>
      <c r="O122" s="12"/>
      <c r="P122" s="11" t="str">
        <f t="shared" si="6"/>
        <v>-</v>
      </c>
      <c r="Q122" s="11" t="str">
        <f t="shared" ca="1" si="7"/>
        <v>-</v>
      </c>
      <c r="R122" s="11" t="str">
        <f>IFERROR(VLOOKUP(G122,Paramètres!$B$6:$F$8,3,FALSE()),"")</f>
        <v>N/A</v>
      </c>
      <c r="S122" s="11" t="str">
        <f t="shared" ca="1" si="8"/>
        <v>-</v>
      </c>
      <c r="T122" s="12"/>
      <c r="U122" s="11" t="str">
        <f t="shared" si="9"/>
        <v>-</v>
      </c>
      <c r="V122" s="11" t="str">
        <f t="shared" si="10"/>
        <v>-</v>
      </c>
      <c r="W122" s="11" t="str">
        <f t="shared" si="11"/>
        <v>Ne nécessite pas de réponse</v>
      </c>
    </row>
    <row r="123" spans="1:23">
      <c r="A123" s="11">
        <v>107</v>
      </c>
      <c r="B123" s="12">
        <v>46069</v>
      </c>
      <c r="C123" s="13" t="s">
        <v>355</v>
      </c>
      <c r="D123" s="13" t="s">
        <v>96</v>
      </c>
      <c r="E123" s="13"/>
      <c r="F123" s="13" t="s">
        <v>356</v>
      </c>
      <c r="G123" s="11" t="s">
        <v>39</v>
      </c>
      <c r="H123" s="11">
        <f>IFERROR(VLOOKUP(G123,Paramètres!$B$6:$F$8,2,FALSE()),"")</f>
        <v>5</v>
      </c>
      <c r="I123" s="13" t="s">
        <v>130</v>
      </c>
      <c r="J123" s="11" t="s">
        <v>48</v>
      </c>
      <c r="K123" s="12">
        <v>46069</v>
      </c>
      <c r="L123" s="12">
        <v>46070</v>
      </c>
      <c r="M123" s="13" t="s">
        <v>86</v>
      </c>
      <c r="N123" s="14" t="s">
        <v>186</v>
      </c>
      <c r="O123" s="12"/>
      <c r="P123" s="11" t="str">
        <f t="shared" si="6"/>
        <v/>
      </c>
      <c r="Q123" s="11" t="str">
        <f t="shared" ca="1" si="7"/>
        <v>ROUGE</v>
      </c>
      <c r="R123" s="11">
        <f>IFERROR(VLOOKUP(G123,Paramètres!$B$6:$F$8,3,FALSE()),"")</f>
        <v>2</v>
      </c>
      <c r="S123" s="11" t="str">
        <f t="shared" ca="1" si="8"/>
        <v/>
      </c>
      <c r="T123" s="12"/>
      <c r="U123" s="11" t="str">
        <f t="shared" si="9"/>
        <v/>
      </c>
      <c r="V123" s="11" t="str">
        <f t="shared" si="10"/>
        <v/>
      </c>
      <c r="W123" s="11" t="str">
        <f t="shared" si="11"/>
        <v/>
      </c>
    </row>
    <row r="124" spans="1:23">
      <c r="A124" s="11">
        <v>108</v>
      </c>
      <c r="B124" s="12">
        <v>46069</v>
      </c>
      <c r="C124" s="13" t="s">
        <v>357</v>
      </c>
      <c r="D124" s="13" t="s">
        <v>178</v>
      </c>
      <c r="E124" s="13" t="s">
        <v>358</v>
      </c>
      <c r="F124" s="13" t="s">
        <v>359</v>
      </c>
      <c r="G124" s="11" t="s">
        <v>84</v>
      </c>
      <c r="H124" s="11">
        <f>IFERROR(VLOOKUP(G124,Paramètres!$B$6:$F$8,2,FALSE()),"")</f>
        <v>5</v>
      </c>
      <c r="I124" s="13" t="s">
        <v>40</v>
      </c>
      <c r="J124" s="11" t="s">
        <v>41</v>
      </c>
      <c r="K124" s="12">
        <v>46070</v>
      </c>
      <c r="L124" s="12">
        <v>46070</v>
      </c>
      <c r="M124" s="13" t="s">
        <v>42</v>
      </c>
      <c r="N124" s="14" t="s">
        <v>87</v>
      </c>
      <c r="O124" s="12">
        <v>46073</v>
      </c>
      <c r="P124" s="11">
        <f t="shared" si="6"/>
        <v>4</v>
      </c>
      <c r="Q124" s="11" t="str">
        <f t="shared" ca="1" si="7"/>
        <v>-</v>
      </c>
      <c r="R124" s="11">
        <f>IFERROR(VLOOKUP(G124,Paramètres!$B$6:$F$8,3,FALSE()),"")</f>
        <v>2</v>
      </c>
      <c r="S124" s="11" t="str">
        <f t="shared" ca="1" si="8"/>
        <v>-</v>
      </c>
      <c r="T124" s="12">
        <v>46080</v>
      </c>
      <c r="U124" s="11">
        <f t="shared" si="9"/>
        <v>7</v>
      </c>
      <c r="V124" s="11">
        <f t="shared" si="10"/>
        <v>4</v>
      </c>
      <c r="W124" s="11" t="str">
        <f t="shared" si="11"/>
        <v>Hors délais</v>
      </c>
    </row>
    <row r="125" spans="1:23" ht="28.5">
      <c r="A125" s="11">
        <v>109</v>
      </c>
      <c r="B125" s="12">
        <v>46070</v>
      </c>
      <c r="C125" s="13" t="s">
        <v>360</v>
      </c>
      <c r="D125" s="13" t="s">
        <v>178</v>
      </c>
      <c r="E125" s="13"/>
      <c r="F125" s="13" t="s">
        <v>361</v>
      </c>
      <c r="G125" s="11" t="s">
        <v>53</v>
      </c>
      <c r="H125" s="11" t="str">
        <f>IFERROR(VLOOKUP(G125,Paramètres!$B$6:$F$8,2,FALSE()),"")</f>
        <v>N/A</v>
      </c>
      <c r="I125" s="13" t="s">
        <v>120</v>
      </c>
      <c r="J125" s="11" t="s">
        <v>48</v>
      </c>
      <c r="K125" s="12">
        <v>46071</v>
      </c>
      <c r="L125" s="12">
        <v>46071</v>
      </c>
      <c r="M125" s="13" t="s">
        <v>75</v>
      </c>
      <c r="N125" s="14" t="s">
        <v>50</v>
      </c>
      <c r="O125" s="12"/>
      <c r="P125" s="11" t="str">
        <f t="shared" si="6"/>
        <v>-</v>
      </c>
      <c r="Q125" s="11" t="str">
        <f t="shared" ca="1" si="7"/>
        <v>-</v>
      </c>
      <c r="R125" s="11" t="str">
        <f>IFERROR(VLOOKUP(G125,Paramètres!$B$6:$F$8,3,FALSE()),"")</f>
        <v>N/A</v>
      </c>
      <c r="S125" s="11" t="str">
        <f t="shared" ca="1" si="8"/>
        <v>-</v>
      </c>
      <c r="T125" s="12"/>
      <c r="U125" s="11" t="str">
        <f t="shared" si="9"/>
        <v>-</v>
      </c>
      <c r="V125" s="11" t="str">
        <f t="shared" si="10"/>
        <v>-</v>
      </c>
      <c r="W125" s="11" t="str">
        <f t="shared" si="11"/>
        <v>Ne nécessite pas de réponse</v>
      </c>
    </row>
    <row r="126" spans="1:23">
      <c r="A126" s="11">
        <v>110</v>
      </c>
      <c r="B126" s="12">
        <v>46070</v>
      </c>
      <c r="C126" s="13" t="s">
        <v>362</v>
      </c>
      <c r="D126" s="13" t="s">
        <v>230</v>
      </c>
      <c r="E126" s="13" t="s">
        <v>363</v>
      </c>
      <c r="F126" s="13" t="s">
        <v>364</v>
      </c>
      <c r="G126" s="11" t="s">
        <v>39</v>
      </c>
      <c r="H126" s="11">
        <f>IFERROR(VLOOKUP(G126,Paramètres!$B$6:$F$8,2,FALSE()),"")</f>
        <v>5</v>
      </c>
      <c r="I126" s="13" t="s">
        <v>120</v>
      </c>
      <c r="J126" s="11" t="s">
        <v>48</v>
      </c>
      <c r="K126" s="12">
        <v>46070</v>
      </c>
      <c r="L126" s="12">
        <v>46070</v>
      </c>
      <c r="M126" s="13"/>
      <c r="N126" s="14" t="s">
        <v>121</v>
      </c>
      <c r="O126" s="12">
        <v>46076</v>
      </c>
      <c r="P126" s="11">
        <f t="shared" si="6"/>
        <v>6</v>
      </c>
      <c r="Q126" s="11" t="str">
        <f t="shared" ca="1" si="7"/>
        <v>-</v>
      </c>
      <c r="R126" s="11">
        <f>IFERROR(VLOOKUP(G126,Paramètres!$B$6:$F$8,3,FALSE()),"")</f>
        <v>2</v>
      </c>
      <c r="S126" s="11" t="str">
        <f t="shared" ca="1" si="8"/>
        <v>-</v>
      </c>
      <c r="T126" s="12">
        <v>46078</v>
      </c>
      <c r="U126" s="11">
        <f t="shared" si="9"/>
        <v>2</v>
      </c>
      <c r="V126" s="11">
        <f t="shared" si="10"/>
        <v>1</v>
      </c>
      <c r="W126" s="11" t="str">
        <f t="shared" si="11"/>
        <v>Hors délais</v>
      </c>
    </row>
    <row r="127" spans="1:23">
      <c r="A127" s="11">
        <v>111</v>
      </c>
      <c r="B127" s="12">
        <v>46070</v>
      </c>
      <c r="C127" s="13" t="s">
        <v>365</v>
      </c>
      <c r="D127" s="13" t="s">
        <v>145</v>
      </c>
      <c r="E127" s="13" t="s">
        <v>366</v>
      </c>
      <c r="F127" s="13" t="s">
        <v>367</v>
      </c>
      <c r="G127" s="11" t="s">
        <v>39</v>
      </c>
      <c r="H127" s="11">
        <f>IFERROR(VLOOKUP(G127,Paramètres!$B$6:$F$8,2,FALSE()),"")</f>
        <v>5</v>
      </c>
      <c r="I127" s="13" t="s">
        <v>85</v>
      </c>
      <c r="J127" s="11" t="s">
        <v>41</v>
      </c>
      <c r="K127" s="12">
        <v>46071</v>
      </c>
      <c r="L127" s="12">
        <v>46071</v>
      </c>
      <c r="M127" s="13" t="s">
        <v>56</v>
      </c>
      <c r="N127" s="14" t="s">
        <v>76</v>
      </c>
      <c r="O127" s="12">
        <v>46077</v>
      </c>
      <c r="P127" s="11">
        <f t="shared" si="6"/>
        <v>7</v>
      </c>
      <c r="Q127" s="11" t="str">
        <f t="shared" ca="1" si="7"/>
        <v>-</v>
      </c>
      <c r="R127" s="11">
        <f>IFERROR(VLOOKUP(G127,Paramètres!$B$6:$F$8,3,FALSE()),"")</f>
        <v>2</v>
      </c>
      <c r="S127" s="11" t="str">
        <f t="shared" ca="1" si="8"/>
        <v>-</v>
      </c>
      <c r="T127" s="12">
        <v>46080</v>
      </c>
      <c r="U127" s="11">
        <f t="shared" si="9"/>
        <v>3</v>
      </c>
      <c r="V127" s="11">
        <f t="shared" si="10"/>
        <v>3</v>
      </c>
      <c r="W127" s="11" t="str">
        <f t="shared" si="11"/>
        <v>Hors délais</v>
      </c>
    </row>
    <row r="128" spans="1:23">
      <c r="A128" s="11">
        <v>112</v>
      </c>
      <c r="B128" s="12">
        <v>46070</v>
      </c>
      <c r="C128" s="13" t="s">
        <v>368</v>
      </c>
      <c r="D128" s="13" t="s">
        <v>137</v>
      </c>
      <c r="E128" s="13" t="s">
        <v>369</v>
      </c>
      <c r="F128" s="13" t="s">
        <v>370</v>
      </c>
      <c r="G128" s="11" t="s">
        <v>39</v>
      </c>
      <c r="H128" s="11">
        <f>IFERROR(VLOOKUP(G128,Paramètres!$B$6:$F$8,2,FALSE()),"")</f>
        <v>5</v>
      </c>
      <c r="I128" s="13" t="s">
        <v>85</v>
      </c>
      <c r="J128" s="11" t="s">
        <v>41</v>
      </c>
      <c r="K128" s="12">
        <v>46070</v>
      </c>
      <c r="L128" s="12">
        <v>46070</v>
      </c>
      <c r="M128" s="13" t="s">
        <v>56</v>
      </c>
      <c r="N128" s="14" t="s">
        <v>43</v>
      </c>
      <c r="O128" s="12">
        <v>46079</v>
      </c>
      <c r="P128" s="11">
        <f t="shared" si="6"/>
        <v>9</v>
      </c>
      <c r="Q128" s="11" t="str">
        <f t="shared" ca="1" si="7"/>
        <v>-</v>
      </c>
      <c r="R128" s="11">
        <f>IFERROR(VLOOKUP(G128,Paramètres!$B$6:$F$8,3,FALSE()),"")</f>
        <v>2</v>
      </c>
      <c r="S128" s="11" t="str">
        <f t="shared" ca="1" si="8"/>
        <v>-</v>
      </c>
      <c r="T128" s="12">
        <v>46086</v>
      </c>
      <c r="U128" s="11">
        <f t="shared" si="9"/>
        <v>7</v>
      </c>
      <c r="V128" s="11">
        <f t="shared" si="10"/>
        <v>9</v>
      </c>
      <c r="W128" s="11" t="str">
        <f t="shared" si="11"/>
        <v>Hors délais</v>
      </c>
    </row>
    <row r="129" spans="1:23">
      <c r="A129" s="11">
        <v>113</v>
      </c>
      <c r="B129" s="12">
        <v>46070</v>
      </c>
      <c r="C129" s="13" t="s">
        <v>371</v>
      </c>
      <c r="D129" s="13" t="s">
        <v>178</v>
      </c>
      <c r="E129" s="13"/>
      <c r="F129" s="13" t="s">
        <v>372</v>
      </c>
      <c r="G129" s="11" t="s">
        <v>39</v>
      </c>
      <c r="H129" s="11">
        <f>IFERROR(VLOOKUP(G129,Paramètres!$B$6:$F$8,2,FALSE()),"")</f>
        <v>5</v>
      </c>
      <c r="I129" s="13" t="s">
        <v>185</v>
      </c>
      <c r="J129" s="11" t="s">
        <v>48</v>
      </c>
      <c r="K129" s="12">
        <v>46070</v>
      </c>
      <c r="L129" s="12">
        <v>46070</v>
      </c>
      <c r="M129" s="13"/>
      <c r="N129" s="14" t="s">
        <v>50</v>
      </c>
      <c r="O129" s="12">
        <v>46079</v>
      </c>
      <c r="P129" s="11">
        <f t="shared" si="6"/>
        <v>9</v>
      </c>
      <c r="Q129" s="11" t="str">
        <f t="shared" ca="1" si="7"/>
        <v>-</v>
      </c>
      <c r="R129" s="11">
        <f>IFERROR(VLOOKUP(G129,Paramètres!$B$6:$F$8,3,FALSE()),"")</f>
        <v>2</v>
      </c>
      <c r="S129" s="11" t="str">
        <f t="shared" ca="1" si="8"/>
        <v>-</v>
      </c>
      <c r="T129" s="12">
        <v>46086</v>
      </c>
      <c r="U129" s="11">
        <f t="shared" si="9"/>
        <v>7</v>
      </c>
      <c r="V129" s="11">
        <f t="shared" si="10"/>
        <v>9</v>
      </c>
      <c r="W129" s="11" t="str">
        <f t="shared" si="11"/>
        <v>Hors délais</v>
      </c>
    </row>
    <row r="130" spans="1:23">
      <c r="A130" s="11">
        <v>114</v>
      </c>
      <c r="B130" s="12">
        <v>46071</v>
      </c>
      <c r="C130" s="13" t="s">
        <v>373</v>
      </c>
      <c r="D130" s="13" t="s">
        <v>81</v>
      </c>
      <c r="E130" s="13"/>
      <c r="F130" s="13" t="s">
        <v>374</v>
      </c>
      <c r="G130" s="11" t="s">
        <v>39</v>
      </c>
      <c r="H130" s="11">
        <f>IFERROR(VLOOKUP(G130,Paramètres!$B$6:$F$8,2,FALSE()),"")</f>
        <v>5</v>
      </c>
      <c r="I130" s="13" t="s">
        <v>47</v>
      </c>
      <c r="J130" s="11" t="s">
        <v>48</v>
      </c>
      <c r="K130" s="12">
        <v>46072</v>
      </c>
      <c r="L130" s="12">
        <v>46072</v>
      </c>
      <c r="M130" s="13" t="s">
        <v>86</v>
      </c>
      <c r="N130" s="14" t="s">
        <v>50</v>
      </c>
      <c r="O130" s="12">
        <v>46077</v>
      </c>
      <c r="P130" s="11">
        <f t="shared" si="6"/>
        <v>6</v>
      </c>
      <c r="Q130" s="11" t="str">
        <f t="shared" ca="1" si="7"/>
        <v>-</v>
      </c>
      <c r="R130" s="11">
        <f>IFERROR(VLOOKUP(G130,Paramètres!$B$6:$F$8,3,FALSE()),"")</f>
        <v>2</v>
      </c>
      <c r="S130" s="11" t="str">
        <f t="shared" ca="1" si="8"/>
        <v>-</v>
      </c>
      <c r="T130" s="12">
        <v>46079</v>
      </c>
      <c r="U130" s="11">
        <f t="shared" si="9"/>
        <v>2</v>
      </c>
      <c r="V130" s="11">
        <f t="shared" si="10"/>
        <v>1</v>
      </c>
      <c r="W130" s="11" t="str">
        <f t="shared" si="11"/>
        <v>Hors délais</v>
      </c>
    </row>
    <row r="131" spans="1:23" ht="28.5">
      <c r="A131" s="11">
        <v>115</v>
      </c>
      <c r="B131" s="12">
        <v>46073</v>
      </c>
      <c r="C131" s="13" t="s">
        <v>375</v>
      </c>
      <c r="D131" s="13" t="s">
        <v>248</v>
      </c>
      <c r="E131" s="13" t="s">
        <v>376</v>
      </c>
      <c r="F131" s="13" t="s">
        <v>377</v>
      </c>
      <c r="G131" s="11" t="s">
        <v>39</v>
      </c>
      <c r="H131" s="11">
        <f>IFERROR(VLOOKUP(G131,Paramètres!$B$6:$F$8,2,FALSE()),"")</f>
        <v>5</v>
      </c>
      <c r="I131" s="13" t="s">
        <v>120</v>
      </c>
      <c r="J131" s="11" t="s">
        <v>48</v>
      </c>
      <c r="K131" s="12">
        <v>46073</v>
      </c>
      <c r="L131" s="12">
        <v>46073</v>
      </c>
      <c r="M131" s="13" t="s">
        <v>75</v>
      </c>
      <c r="N131" s="14" t="s">
        <v>50</v>
      </c>
      <c r="O131" s="12">
        <v>46079</v>
      </c>
      <c r="P131" s="11">
        <f t="shared" si="6"/>
        <v>6</v>
      </c>
      <c r="Q131" s="11" t="str">
        <f t="shared" ca="1" si="7"/>
        <v>-</v>
      </c>
      <c r="R131" s="11">
        <f>IFERROR(VLOOKUP(G131,Paramètres!$B$6:$F$8,3,FALSE()),"")</f>
        <v>2</v>
      </c>
      <c r="S131" s="11" t="str">
        <f t="shared" ca="1" si="8"/>
        <v>-</v>
      </c>
      <c r="T131" s="12">
        <v>46084</v>
      </c>
      <c r="U131" s="11">
        <f t="shared" si="9"/>
        <v>5</v>
      </c>
      <c r="V131" s="11">
        <f t="shared" si="10"/>
        <v>4</v>
      </c>
      <c r="W131" s="11" t="str">
        <f t="shared" si="11"/>
        <v>Hors délais</v>
      </c>
    </row>
    <row r="132" spans="1:23">
      <c r="A132" s="11">
        <v>116</v>
      </c>
      <c r="B132" s="12">
        <v>46073</v>
      </c>
      <c r="C132" s="13" t="s">
        <v>378</v>
      </c>
      <c r="D132" s="13" t="s">
        <v>178</v>
      </c>
      <c r="E132" s="13"/>
      <c r="F132" s="13" t="s">
        <v>379</v>
      </c>
      <c r="G132" s="11" t="s">
        <v>39</v>
      </c>
      <c r="H132" s="11">
        <f>IFERROR(VLOOKUP(G132,Paramètres!$B$6:$F$8,2,FALSE()),"")</f>
        <v>5</v>
      </c>
      <c r="I132" s="13" t="s">
        <v>47</v>
      </c>
      <c r="J132" s="11" t="s">
        <v>48</v>
      </c>
      <c r="K132" s="12">
        <v>46073</v>
      </c>
      <c r="L132" s="12">
        <v>46076</v>
      </c>
      <c r="M132" s="13"/>
      <c r="N132" s="14" t="s">
        <v>50</v>
      </c>
      <c r="O132" s="12">
        <v>46080</v>
      </c>
      <c r="P132" s="11">
        <f t="shared" si="6"/>
        <v>7</v>
      </c>
      <c r="Q132" s="11" t="str">
        <f t="shared" ca="1" si="7"/>
        <v>-</v>
      </c>
      <c r="R132" s="11">
        <f>IFERROR(VLOOKUP(G132,Paramètres!$B$6:$F$8,3,FALSE()),"")</f>
        <v>2</v>
      </c>
      <c r="S132" s="11" t="str">
        <f t="shared" ca="1" si="8"/>
        <v>-</v>
      </c>
      <c r="T132" s="12">
        <v>46085</v>
      </c>
      <c r="U132" s="11">
        <f t="shared" si="9"/>
        <v>5</v>
      </c>
      <c r="V132" s="11">
        <f t="shared" si="10"/>
        <v>5</v>
      </c>
      <c r="W132" s="11" t="str">
        <f t="shared" si="11"/>
        <v>Hors délais</v>
      </c>
    </row>
    <row r="133" spans="1:23" ht="28.5">
      <c r="A133" s="11">
        <v>117</v>
      </c>
      <c r="B133" s="12">
        <v>46076</v>
      </c>
      <c r="C133" s="13" t="s">
        <v>380</v>
      </c>
      <c r="D133" s="13" t="s">
        <v>104</v>
      </c>
      <c r="E133" s="13"/>
      <c r="F133" s="13" t="s">
        <v>381</v>
      </c>
      <c r="G133" s="11" t="s">
        <v>53</v>
      </c>
      <c r="H133" s="11" t="str">
        <f>IFERROR(VLOOKUP(G133,Paramètres!$B$6:$F$8,2,FALSE()),"")</f>
        <v>N/A</v>
      </c>
      <c r="I133" s="13" t="s">
        <v>47</v>
      </c>
      <c r="J133" s="11" t="s">
        <v>48</v>
      </c>
      <c r="K133" s="12">
        <v>46076</v>
      </c>
      <c r="L133" s="12">
        <v>46077</v>
      </c>
      <c r="M133" s="13" t="s">
        <v>75</v>
      </c>
      <c r="N133" s="14" t="s">
        <v>121</v>
      </c>
      <c r="O133" s="12"/>
      <c r="P133" s="11" t="str">
        <f t="shared" si="6"/>
        <v>-</v>
      </c>
      <c r="Q133" s="11" t="str">
        <f t="shared" ca="1" si="7"/>
        <v>-</v>
      </c>
      <c r="R133" s="11" t="str">
        <f>IFERROR(VLOOKUP(G133,Paramètres!$B$6:$F$8,3,FALSE()),"")</f>
        <v>N/A</v>
      </c>
      <c r="S133" s="11" t="str">
        <f t="shared" ca="1" si="8"/>
        <v>-</v>
      </c>
      <c r="T133" s="12"/>
      <c r="U133" s="11" t="str">
        <f t="shared" si="9"/>
        <v>-</v>
      </c>
      <c r="V133" s="11" t="str">
        <f t="shared" si="10"/>
        <v>-</v>
      </c>
      <c r="W133" s="11" t="str">
        <f t="shared" si="11"/>
        <v>Ne nécessite pas de réponse</v>
      </c>
    </row>
    <row r="134" spans="1:23">
      <c r="A134" s="11">
        <v>118</v>
      </c>
      <c r="B134" s="12">
        <v>46076</v>
      </c>
      <c r="C134" s="13" t="s">
        <v>382</v>
      </c>
      <c r="D134" s="13" t="s">
        <v>59</v>
      </c>
      <c r="E134" s="13"/>
      <c r="F134" s="13" t="s">
        <v>383</v>
      </c>
      <c r="G134" s="11" t="s">
        <v>53</v>
      </c>
      <c r="H134" s="11" t="str">
        <f>IFERROR(VLOOKUP(G134,Paramètres!$B$6:$F$8,2,FALSE()),"")</f>
        <v>N/A</v>
      </c>
      <c r="I134" s="13" t="s">
        <v>168</v>
      </c>
      <c r="J134" s="11" t="s">
        <v>48</v>
      </c>
      <c r="K134" s="12">
        <v>46076</v>
      </c>
      <c r="L134" s="12">
        <v>46076</v>
      </c>
      <c r="M134" s="13" t="s">
        <v>49</v>
      </c>
      <c r="N134" s="14" t="s">
        <v>121</v>
      </c>
      <c r="O134" s="12"/>
      <c r="P134" s="11" t="str">
        <f t="shared" si="6"/>
        <v>-</v>
      </c>
      <c r="Q134" s="11" t="str">
        <f t="shared" ca="1" si="7"/>
        <v>-</v>
      </c>
      <c r="R134" s="11" t="str">
        <f>IFERROR(VLOOKUP(G134,Paramètres!$B$6:$F$8,3,FALSE()),"")</f>
        <v>N/A</v>
      </c>
      <c r="S134" s="11" t="str">
        <f t="shared" ca="1" si="8"/>
        <v>-</v>
      </c>
      <c r="T134" s="12"/>
      <c r="U134" s="11" t="str">
        <f t="shared" si="9"/>
        <v>-</v>
      </c>
      <c r="V134" s="11" t="str">
        <f t="shared" si="10"/>
        <v>-</v>
      </c>
      <c r="W134" s="11" t="str">
        <f t="shared" si="11"/>
        <v>Ne nécessite pas de réponse</v>
      </c>
    </row>
    <row r="135" spans="1:23">
      <c r="A135" s="11">
        <v>119</v>
      </c>
      <c r="B135" s="12">
        <v>46076</v>
      </c>
      <c r="C135" s="13" t="s">
        <v>384</v>
      </c>
      <c r="D135" s="13" t="s">
        <v>63</v>
      </c>
      <c r="E135" s="13"/>
      <c r="F135" s="13" t="s">
        <v>385</v>
      </c>
      <c r="G135" s="11" t="s">
        <v>39</v>
      </c>
      <c r="H135" s="11">
        <f>IFERROR(VLOOKUP(G135,Paramètres!$B$6:$F$8,2,FALSE()),"")</f>
        <v>5</v>
      </c>
      <c r="I135" s="13" t="s">
        <v>91</v>
      </c>
      <c r="J135" s="11" t="s">
        <v>41</v>
      </c>
      <c r="K135" s="12">
        <v>46077</v>
      </c>
      <c r="L135" s="12">
        <v>46078</v>
      </c>
      <c r="M135" s="13" t="s">
        <v>49</v>
      </c>
      <c r="N135" s="14" t="s">
        <v>76</v>
      </c>
      <c r="O135" s="12">
        <v>46079</v>
      </c>
      <c r="P135" s="11">
        <f t="shared" si="6"/>
        <v>3</v>
      </c>
      <c r="Q135" s="11" t="str">
        <f t="shared" ca="1" si="7"/>
        <v>-</v>
      </c>
      <c r="R135" s="11">
        <f>IFERROR(VLOOKUP(G135,Paramètres!$B$6:$F$8,3,FALSE()),"")</f>
        <v>2</v>
      </c>
      <c r="S135" s="11" t="str">
        <f t="shared" ca="1" si="8"/>
        <v>-</v>
      </c>
      <c r="T135" s="12">
        <v>46086</v>
      </c>
      <c r="U135" s="11">
        <f t="shared" si="9"/>
        <v>7</v>
      </c>
      <c r="V135" s="11">
        <f t="shared" si="10"/>
        <v>3</v>
      </c>
      <c r="W135" s="11" t="str">
        <f t="shared" si="11"/>
        <v>Hors délais</v>
      </c>
    </row>
    <row r="136" spans="1:23">
      <c r="A136" s="11">
        <v>120</v>
      </c>
      <c r="B136" s="12">
        <v>46077</v>
      </c>
      <c r="C136" s="13" t="s">
        <v>386</v>
      </c>
      <c r="D136" s="13" t="s">
        <v>118</v>
      </c>
      <c r="E136" s="13" t="s">
        <v>387</v>
      </c>
      <c r="F136" s="13" t="s">
        <v>388</v>
      </c>
      <c r="G136" s="11" t="s">
        <v>39</v>
      </c>
      <c r="H136" s="11">
        <f>IFERROR(VLOOKUP(G136,Paramètres!$B$6:$F$8,2,FALSE()),"")</f>
        <v>5</v>
      </c>
      <c r="I136" s="13" t="s">
        <v>54</v>
      </c>
      <c r="J136" s="11" t="s">
        <v>55</v>
      </c>
      <c r="K136" s="12">
        <v>46077</v>
      </c>
      <c r="L136" s="12">
        <v>46077</v>
      </c>
      <c r="M136" s="13" t="s">
        <v>61</v>
      </c>
      <c r="N136" s="14" t="s">
        <v>102</v>
      </c>
      <c r="O136" s="12">
        <v>46083</v>
      </c>
      <c r="P136" s="11">
        <f t="shared" si="6"/>
        <v>6</v>
      </c>
      <c r="Q136" s="11" t="str">
        <f t="shared" ca="1" si="7"/>
        <v>-</v>
      </c>
      <c r="R136" s="11">
        <f>IFERROR(VLOOKUP(G136,Paramètres!$B$6:$F$8,3,FALSE()),"")</f>
        <v>2</v>
      </c>
      <c r="S136" s="11" t="str">
        <f t="shared" ca="1" si="8"/>
        <v>-</v>
      </c>
      <c r="T136" s="12">
        <v>46084</v>
      </c>
      <c r="U136" s="11">
        <f t="shared" si="9"/>
        <v>1</v>
      </c>
      <c r="V136" s="11">
        <f t="shared" si="10"/>
        <v>0</v>
      </c>
      <c r="W136" s="11" t="str">
        <f t="shared" si="11"/>
        <v>Dans les délais</v>
      </c>
    </row>
    <row r="137" spans="1:23">
      <c r="A137" s="11">
        <v>121</v>
      </c>
      <c r="B137" s="12">
        <v>46077</v>
      </c>
      <c r="C137" s="13" t="s">
        <v>389</v>
      </c>
      <c r="D137" s="13" t="s">
        <v>37</v>
      </c>
      <c r="E137" s="13"/>
      <c r="F137" s="13" t="s">
        <v>390</v>
      </c>
      <c r="G137" s="11" t="s">
        <v>39</v>
      </c>
      <c r="H137" s="11">
        <f>IFERROR(VLOOKUP(G137,Paramètres!$B$6:$F$8,2,FALSE()),"")</f>
        <v>5</v>
      </c>
      <c r="I137" s="13" t="s">
        <v>94</v>
      </c>
      <c r="J137" s="11" t="s">
        <v>55</v>
      </c>
      <c r="K137" s="12">
        <v>46078</v>
      </c>
      <c r="L137" s="12">
        <v>46078</v>
      </c>
      <c r="M137" s="13"/>
      <c r="N137" s="14" t="s">
        <v>102</v>
      </c>
      <c r="O137" s="12">
        <v>46085</v>
      </c>
      <c r="P137" s="11">
        <f t="shared" si="6"/>
        <v>8</v>
      </c>
      <c r="Q137" s="11" t="str">
        <f t="shared" ca="1" si="7"/>
        <v>-</v>
      </c>
      <c r="R137" s="11">
        <f>IFERROR(VLOOKUP(G137,Paramètres!$B$6:$F$8,3,FALSE()),"")</f>
        <v>2</v>
      </c>
      <c r="S137" s="11" t="str">
        <f t="shared" ca="1" si="8"/>
        <v>-</v>
      </c>
      <c r="T137" s="12">
        <v>46086</v>
      </c>
      <c r="U137" s="11">
        <f t="shared" si="9"/>
        <v>1</v>
      </c>
      <c r="V137" s="11">
        <f t="shared" si="10"/>
        <v>2</v>
      </c>
      <c r="W137" s="11" t="str">
        <f t="shared" si="11"/>
        <v>Hors délais</v>
      </c>
    </row>
    <row r="138" spans="1:23">
      <c r="A138" s="11">
        <v>122</v>
      </c>
      <c r="B138" s="12">
        <v>46077</v>
      </c>
      <c r="C138" s="13" t="s">
        <v>391</v>
      </c>
      <c r="D138" s="13" t="s">
        <v>178</v>
      </c>
      <c r="E138" s="13"/>
      <c r="F138" s="13" t="s">
        <v>392</v>
      </c>
      <c r="G138" s="11" t="s">
        <v>39</v>
      </c>
      <c r="H138" s="11">
        <f>IFERROR(VLOOKUP(G138,Paramètres!$B$6:$F$8,2,FALSE()),"")</f>
        <v>5</v>
      </c>
      <c r="I138" s="13" t="s">
        <v>190</v>
      </c>
      <c r="J138" s="11" t="s">
        <v>48</v>
      </c>
      <c r="K138" s="12">
        <v>46078</v>
      </c>
      <c r="L138" s="12">
        <v>46079</v>
      </c>
      <c r="M138" s="13" t="s">
        <v>42</v>
      </c>
      <c r="N138" s="14" t="s">
        <v>121</v>
      </c>
      <c r="O138" s="12">
        <v>46084</v>
      </c>
      <c r="P138" s="11">
        <f t="shared" si="6"/>
        <v>7</v>
      </c>
      <c r="Q138" s="11" t="str">
        <f t="shared" ca="1" si="7"/>
        <v>-</v>
      </c>
      <c r="R138" s="11">
        <f>IFERROR(VLOOKUP(G138,Paramètres!$B$6:$F$8,3,FALSE()),"")</f>
        <v>2</v>
      </c>
      <c r="S138" s="11" t="str">
        <f t="shared" ca="1" si="8"/>
        <v>-</v>
      </c>
      <c r="T138" s="12">
        <v>46084</v>
      </c>
      <c r="U138" s="11">
        <f t="shared" si="9"/>
        <v>0</v>
      </c>
      <c r="V138" s="11">
        <f t="shared" si="10"/>
        <v>0</v>
      </c>
      <c r="W138" s="11" t="str">
        <f t="shared" si="11"/>
        <v>Dans les délais</v>
      </c>
    </row>
    <row r="139" spans="1:23">
      <c r="A139" s="11">
        <v>123</v>
      </c>
      <c r="B139" s="12">
        <v>46077</v>
      </c>
      <c r="C139" s="13" t="s">
        <v>393</v>
      </c>
      <c r="D139" s="13" t="s">
        <v>100</v>
      </c>
      <c r="E139" s="13" t="s">
        <v>394</v>
      </c>
      <c r="F139" s="13" t="s">
        <v>395</v>
      </c>
      <c r="G139" s="11" t="s">
        <v>39</v>
      </c>
      <c r="H139" s="11">
        <f>IFERROR(VLOOKUP(G139,Paramètres!$B$6:$F$8,2,FALSE()),"")</f>
        <v>5</v>
      </c>
      <c r="I139" s="13" t="s">
        <v>85</v>
      </c>
      <c r="J139" s="11" t="s">
        <v>41</v>
      </c>
      <c r="K139" s="12">
        <v>46077</v>
      </c>
      <c r="L139" s="12">
        <v>46077</v>
      </c>
      <c r="M139" s="13" t="s">
        <v>49</v>
      </c>
      <c r="N139" s="14" t="s">
        <v>43</v>
      </c>
      <c r="O139" s="12">
        <v>46084</v>
      </c>
      <c r="P139" s="11">
        <f t="shared" si="6"/>
        <v>7</v>
      </c>
      <c r="Q139" s="11" t="str">
        <f t="shared" ca="1" si="7"/>
        <v>-</v>
      </c>
      <c r="R139" s="11">
        <f>IFERROR(VLOOKUP(G139,Paramètres!$B$6:$F$8,3,FALSE()),"")</f>
        <v>2</v>
      </c>
      <c r="S139" s="11" t="str">
        <f t="shared" ca="1" si="8"/>
        <v>-</v>
      </c>
      <c r="T139" s="12">
        <v>46085</v>
      </c>
      <c r="U139" s="11">
        <f t="shared" si="9"/>
        <v>1</v>
      </c>
      <c r="V139" s="11">
        <f t="shared" si="10"/>
        <v>1</v>
      </c>
      <c r="W139" s="11" t="str">
        <f t="shared" si="11"/>
        <v>Hors délais</v>
      </c>
    </row>
    <row r="140" spans="1:23">
      <c r="A140" s="11">
        <v>124</v>
      </c>
      <c r="B140" s="12">
        <v>46077</v>
      </c>
      <c r="C140" s="13" t="s">
        <v>396</v>
      </c>
      <c r="D140" s="13" t="s">
        <v>96</v>
      </c>
      <c r="E140" s="13"/>
      <c r="F140" s="13" t="s">
        <v>397</v>
      </c>
      <c r="G140" s="11" t="s">
        <v>53</v>
      </c>
      <c r="H140" s="11" t="str">
        <f>IFERROR(VLOOKUP(G140,Paramètres!$B$6:$F$8,2,FALSE()),"")</f>
        <v>N/A</v>
      </c>
      <c r="I140" s="13" t="s">
        <v>40</v>
      </c>
      <c r="J140" s="11" t="s">
        <v>41</v>
      </c>
      <c r="K140" s="12">
        <v>46077</v>
      </c>
      <c r="L140" s="12">
        <v>46077</v>
      </c>
      <c r="M140" s="13" t="s">
        <v>61</v>
      </c>
      <c r="N140" s="14" t="s">
        <v>43</v>
      </c>
      <c r="O140" s="12"/>
      <c r="P140" s="11" t="str">
        <f t="shared" si="6"/>
        <v>-</v>
      </c>
      <c r="Q140" s="11" t="str">
        <f t="shared" ca="1" si="7"/>
        <v>-</v>
      </c>
      <c r="R140" s="11" t="str">
        <f>IFERROR(VLOOKUP(G140,Paramètres!$B$6:$F$8,3,FALSE()),"")</f>
        <v>N/A</v>
      </c>
      <c r="S140" s="11" t="str">
        <f t="shared" ca="1" si="8"/>
        <v>-</v>
      </c>
      <c r="T140" s="12"/>
      <c r="U140" s="11" t="str">
        <f t="shared" si="9"/>
        <v>-</v>
      </c>
      <c r="V140" s="11" t="str">
        <f t="shared" si="10"/>
        <v>-</v>
      </c>
      <c r="W140" s="11" t="str">
        <f t="shared" si="11"/>
        <v>Ne nécessite pas de réponse</v>
      </c>
    </row>
    <row r="141" spans="1:23">
      <c r="A141" s="11">
        <v>125</v>
      </c>
      <c r="B141" s="12">
        <v>46078</v>
      </c>
      <c r="C141" s="13" t="s">
        <v>398</v>
      </c>
      <c r="D141" s="13" t="s">
        <v>104</v>
      </c>
      <c r="E141" s="13" t="s">
        <v>399</v>
      </c>
      <c r="F141" s="13" t="s">
        <v>400</v>
      </c>
      <c r="G141" s="11" t="s">
        <v>53</v>
      </c>
      <c r="H141" s="11" t="str">
        <f>IFERROR(VLOOKUP(G141,Paramètres!$B$6:$F$8,2,FALSE()),"")</f>
        <v>N/A</v>
      </c>
      <c r="I141" s="13" t="s">
        <v>108</v>
      </c>
      <c r="J141" s="11" t="s">
        <v>55</v>
      </c>
      <c r="K141" s="12">
        <v>46078</v>
      </c>
      <c r="L141" s="12">
        <v>46078</v>
      </c>
      <c r="M141" s="13" t="s">
        <v>61</v>
      </c>
      <c r="N141" s="14" t="s">
        <v>57</v>
      </c>
      <c r="O141" s="12"/>
      <c r="P141" s="11" t="str">
        <f t="shared" si="6"/>
        <v>-</v>
      </c>
      <c r="Q141" s="11" t="str">
        <f t="shared" ca="1" si="7"/>
        <v>-</v>
      </c>
      <c r="R141" s="11" t="str">
        <f>IFERROR(VLOOKUP(G141,Paramètres!$B$6:$F$8,3,FALSE()),"")</f>
        <v>N/A</v>
      </c>
      <c r="S141" s="11" t="str">
        <f t="shared" ca="1" si="8"/>
        <v>-</v>
      </c>
      <c r="T141" s="12"/>
      <c r="U141" s="11" t="str">
        <f t="shared" si="9"/>
        <v>-</v>
      </c>
      <c r="V141" s="11" t="str">
        <f t="shared" si="10"/>
        <v>-</v>
      </c>
      <c r="W141" s="11" t="str">
        <f t="shared" si="11"/>
        <v>Ne nécessite pas de réponse</v>
      </c>
    </row>
    <row r="142" spans="1:23">
      <c r="A142" s="11">
        <v>126</v>
      </c>
      <c r="B142" s="12">
        <v>46078</v>
      </c>
      <c r="C142" s="13" t="s">
        <v>401</v>
      </c>
      <c r="D142" s="13" t="s">
        <v>59</v>
      </c>
      <c r="E142" s="13"/>
      <c r="F142" s="13" t="s">
        <v>402</v>
      </c>
      <c r="G142" s="11" t="s">
        <v>53</v>
      </c>
      <c r="H142" s="11" t="str">
        <f>IFERROR(VLOOKUP(G142,Paramètres!$B$6:$F$8,2,FALSE()),"")</f>
        <v>N/A</v>
      </c>
      <c r="I142" s="13" t="s">
        <v>40</v>
      </c>
      <c r="J142" s="11" t="s">
        <v>41</v>
      </c>
      <c r="K142" s="12">
        <v>46078</v>
      </c>
      <c r="L142" s="12">
        <v>46079</v>
      </c>
      <c r="M142" s="13" t="s">
        <v>61</v>
      </c>
      <c r="N142" s="14" t="s">
        <v>43</v>
      </c>
      <c r="O142" s="12"/>
      <c r="P142" s="11" t="str">
        <f t="shared" si="6"/>
        <v>-</v>
      </c>
      <c r="Q142" s="11" t="str">
        <f t="shared" ca="1" si="7"/>
        <v>-</v>
      </c>
      <c r="R142" s="11" t="str">
        <f>IFERROR(VLOOKUP(G142,Paramètres!$B$6:$F$8,3,FALSE()),"")</f>
        <v>N/A</v>
      </c>
      <c r="S142" s="11" t="str">
        <f t="shared" ca="1" si="8"/>
        <v>-</v>
      </c>
      <c r="T142" s="12"/>
      <c r="U142" s="11" t="str">
        <f t="shared" si="9"/>
        <v>-</v>
      </c>
      <c r="V142" s="11" t="str">
        <f t="shared" si="10"/>
        <v>-</v>
      </c>
      <c r="W142" s="11" t="str">
        <f t="shared" si="11"/>
        <v>Ne nécessite pas de réponse</v>
      </c>
    </row>
    <row r="143" spans="1:23">
      <c r="A143" s="11">
        <v>127</v>
      </c>
      <c r="B143" s="12">
        <v>46078</v>
      </c>
      <c r="C143" s="13" t="s">
        <v>403</v>
      </c>
      <c r="D143" s="13" t="s">
        <v>123</v>
      </c>
      <c r="E143" s="13"/>
      <c r="F143" s="13" t="s">
        <v>404</v>
      </c>
      <c r="G143" s="11" t="s">
        <v>39</v>
      </c>
      <c r="H143" s="11">
        <f>IFERROR(VLOOKUP(G143,Paramètres!$B$6:$F$8,2,FALSE()),"")</f>
        <v>5</v>
      </c>
      <c r="I143" s="13" t="s">
        <v>155</v>
      </c>
      <c r="J143" s="11" t="s">
        <v>48</v>
      </c>
      <c r="K143" s="12">
        <v>46079</v>
      </c>
      <c r="L143" s="12">
        <v>46080</v>
      </c>
      <c r="M143" s="13" t="s">
        <v>56</v>
      </c>
      <c r="N143" s="14" t="s">
        <v>186</v>
      </c>
      <c r="O143" s="12">
        <v>46083</v>
      </c>
      <c r="P143" s="11">
        <f t="shared" si="6"/>
        <v>5</v>
      </c>
      <c r="Q143" s="11" t="str">
        <f t="shared" ca="1" si="7"/>
        <v>-</v>
      </c>
      <c r="R143" s="11">
        <f>IFERROR(VLOOKUP(G143,Paramètres!$B$6:$F$8,3,FALSE()),"")</f>
        <v>2</v>
      </c>
      <c r="S143" s="11" t="str">
        <f t="shared" ca="1" si="8"/>
        <v>-</v>
      </c>
      <c r="T143" s="12">
        <v>46085</v>
      </c>
      <c r="U143" s="11">
        <f t="shared" si="9"/>
        <v>2</v>
      </c>
      <c r="V143" s="11">
        <f t="shared" si="10"/>
        <v>0</v>
      </c>
      <c r="W143" s="11" t="str">
        <f t="shared" si="11"/>
        <v>Dans les délais</v>
      </c>
    </row>
    <row r="144" spans="1:23" ht="28.5">
      <c r="A144" s="11">
        <v>128</v>
      </c>
      <c r="B144" s="12">
        <v>46078</v>
      </c>
      <c r="C144" s="13" t="s">
        <v>405</v>
      </c>
      <c r="D144" s="13" t="s">
        <v>68</v>
      </c>
      <c r="E144" s="13" t="s">
        <v>406</v>
      </c>
      <c r="F144" s="13" t="s">
        <v>407</v>
      </c>
      <c r="G144" s="11" t="s">
        <v>39</v>
      </c>
      <c r="H144" s="11">
        <f>IFERROR(VLOOKUP(G144,Paramètres!$B$6:$F$8,2,FALSE()),"")</f>
        <v>5</v>
      </c>
      <c r="I144" s="13" t="s">
        <v>168</v>
      </c>
      <c r="J144" s="11" t="s">
        <v>48</v>
      </c>
      <c r="K144" s="12">
        <v>46079</v>
      </c>
      <c r="L144" s="12">
        <v>46080</v>
      </c>
      <c r="M144" s="13" t="s">
        <v>75</v>
      </c>
      <c r="N144" s="14" t="s">
        <v>121</v>
      </c>
      <c r="O144" s="12">
        <v>46086</v>
      </c>
      <c r="P144" s="11">
        <f t="shared" si="6"/>
        <v>8</v>
      </c>
      <c r="Q144" s="11" t="str">
        <f t="shared" ca="1" si="7"/>
        <v>-</v>
      </c>
      <c r="R144" s="11">
        <f>IFERROR(VLOOKUP(G144,Paramètres!$B$6:$F$8,3,FALSE()),"")</f>
        <v>2</v>
      </c>
      <c r="S144" s="11" t="str">
        <f t="shared" ca="1" si="8"/>
        <v>-</v>
      </c>
      <c r="T144" s="12">
        <v>46087</v>
      </c>
      <c r="U144" s="11">
        <f t="shared" si="9"/>
        <v>1</v>
      </c>
      <c r="V144" s="11">
        <f t="shared" si="10"/>
        <v>2</v>
      </c>
      <c r="W144" s="11" t="str">
        <f t="shared" si="11"/>
        <v>Hors délais</v>
      </c>
    </row>
    <row r="145" spans="1:23">
      <c r="A145" s="11">
        <v>129</v>
      </c>
      <c r="B145" s="12">
        <v>46078</v>
      </c>
      <c r="C145" s="13" t="s">
        <v>408</v>
      </c>
      <c r="D145" s="13" t="s">
        <v>178</v>
      </c>
      <c r="E145" s="13"/>
      <c r="F145" s="13" t="s">
        <v>409</v>
      </c>
      <c r="G145" s="11" t="s">
        <v>39</v>
      </c>
      <c r="H145" s="11">
        <f>IFERROR(VLOOKUP(G145,Paramètres!$B$6:$F$8,2,FALSE()),"")</f>
        <v>5</v>
      </c>
      <c r="I145" s="13" t="s">
        <v>74</v>
      </c>
      <c r="J145" s="11" t="s">
        <v>41</v>
      </c>
      <c r="K145" s="12">
        <v>46079</v>
      </c>
      <c r="L145" s="12">
        <v>46079</v>
      </c>
      <c r="M145" s="13" t="s">
        <v>49</v>
      </c>
      <c r="N145" s="14" t="s">
        <v>43</v>
      </c>
      <c r="O145" s="12">
        <v>46080</v>
      </c>
      <c r="P145" s="11">
        <f t="shared" ref="P145:P208" si="12">IF(G145="Ne nécessite pas de réponse","-",IF(AND(ISNUMBER(B145),ISNUMBER(O145)),O145-B145,""))</f>
        <v>2</v>
      </c>
      <c r="Q145" s="11" t="str">
        <f t="shared" ref="Q145:Q208" ca="1" si="13">IF(G145="Ne nécessite pas de réponse","-",IF(O145&lt;&gt;"","-",IF(OR(B145="",H145="",NOT(ISNUMBER(H145)),H145=0),"",IF((TODAY()-B145)/H145&lt;=0.5,"VERT",IF((TODAY()-B145)/H145&lt;=0.8,"JAUNE","ROUGE")))))</f>
        <v>-</v>
      </c>
      <c r="R145" s="11">
        <f>IFERROR(VLOOKUP(G145,Paramètres!$B$6:$F$8,3,FALSE()),"")</f>
        <v>2</v>
      </c>
      <c r="S145" s="11" t="str">
        <f t="shared" ref="S145:S208" ca="1" si="14">IF(G145="Ne nécessite pas de réponse","-",IF(O145="","",IF(T145&lt;&gt;"","-",IF(OR(R145="",NOT(ISNUMBER(R145)),R145=0),"",IF((TODAY()-O145)/R145&lt;=0.5,"VERT",IF((TODAY()-O145)/R145&lt;=0.8,"JAUNE","ROUGE"))))))</f>
        <v>-</v>
      </c>
      <c r="T145" s="12">
        <v>46084</v>
      </c>
      <c r="U145" s="11">
        <f t="shared" ref="U145:U208" si="15">IF(G145="Ne nécessite pas de réponse","-",IF(AND(ISNUMBER(O145),ISNUMBER(T145)),T145-O145,""))</f>
        <v>4</v>
      </c>
      <c r="V145" s="11">
        <f t="shared" ref="V145:V208" si="16">IF(G145="Ne nécessite pas de réponse","-",IF(AND(ISNUMBER(T145),ISNUMBER(B145),ISNUMBER(H145),ISNUMBER(R145)),T145-(B145+H145+R145),""))</f>
        <v>-1</v>
      </c>
      <c r="W145" s="11" t="str">
        <f t="shared" ref="W145:W208" si="17">IF(G145="Ne nécessite pas de réponse","Ne nécessite pas de réponse",IF(T145="","",IF(V145&lt;=0,"Dans les délais","Hors délais")))</f>
        <v>Dans les délais</v>
      </c>
    </row>
    <row r="146" spans="1:23">
      <c r="A146" s="11">
        <v>130</v>
      </c>
      <c r="B146" s="12">
        <v>46078</v>
      </c>
      <c r="C146" s="13" t="s">
        <v>410</v>
      </c>
      <c r="D146" s="13" t="s">
        <v>178</v>
      </c>
      <c r="E146" s="13" t="s">
        <v>411</v>
      </c>
      <c r="F146" s="13" t="s">
        <v>412</v>
      </c>
      <c r="G146" s="11" t="s">
        <v>39</v>
      </c>
      <c r="H146" s="11">
        <f>IFERROR(VLOOKUP(G146,Paramètres!$B$6:$F$8,2,FALSE()),"")</f>
        <v>5</v>
      </c>
      <c r="I146" s="13" t="s">
        <v>98</v>
      </c>
      <c r="J146" s="11" t="s">
        <v>41</v>
      </c>
      <c r="K146" s="12">
        <v>46078</v>
      </c>
      <c r="L146" s="12">
        <v>46078</v>
      </c>
      <c r="M146" s="13" t="s">
        <v>61</v>
      </c>
      <c r="N146" s="14" t="s">
        <v>87</v>
      </c>
      <c r="O146" s="12">
        <v>46080</v>
      </c>
      <c r="P146" s="11">
        <f t="shared" si="12"/>
        <v>2</v>
      </c>
      <c r="Q146" s="11" t="str">
        <f t="shared" ca="1" si="13"/>
        <v>-</v>
      </c>
      <c r="R146" s="11">
        <f>IFERROR(VLOOKUP(G146,Paramètres!$B$6:$F$8,3,FALSE()),"")</f>
        <v>2</v>
      </c>
      <c r="S146" s="11" t="str">
        <f t="shared" ca="1" si="14"/>
        <v>-</v>
      </c>
      <c r="T146" s="12">
        <v>46085</v>
      </c>
      <c r="U146" s="11">
        <f t="shared" si="15"/>
        <v>5</v>
      </c>
      <c r="V146" s="11">
        <f t="shared" si="16"/>
        <v>0</v>
      </c>
      <c r="W146" s="11" t="str">
        <f t="shared" si="17"/>
        <v>Dans les délais</v>
      </c>
    </row>
    <row r="147" spans="1:23">
      <c r="A147" s="11">
        <v>131</v>
      </c>
      <c r="B147" s="12">
        <v>46078</v>
      </c>
      <c r="C147" s="13" t="s">
        <v>413</v>
      </c>
      <c r="D147" s="13" t="s">
        <v>59</v>
      </c>
      <c r="E147" s="13"/>
      <c r="F147" s="13" t="s">
        <v>414</v>
      </c>
      <c r="G147" s="11" t="s">
        <v>39</v>
      </c>
      <c r="H147" s="11">
        <f>IFERROR(VLOOKUP(G147,Paramètres!$B$6:$F$8,2,FALSE()),"")</f>
        <v>5</v>
      </c>
      <c r="I147" s="13" t="s">
        <v>108</v>
      </c>
      <c r="J147" s="11" t="s">
        <v>55</v>
      </c>
      <c r="K147" s="12">
        <v>46078</v>
      </c>
      <c r="L147" s="12">
        <v>46079</v>
      </c>
      <c r="M147" s="13" t="s">
        <v>56</v>
      </c>
      <c r="N147" s="14" t="s">
        <v>57</v>
      </c>
      <c r="O147" s="12">
        <v>46087</v>
      </c>
      <c r="P147" s="11">
        <f t="shared" si="12"/>
        <v>9</v>
      </c>
      <c r="Q147" s="11" t="str">
        <f t="shared" ca="1" si="13"/>
        <v>-</v>
      </c>
      <c r="R147" s="11">
        <f>IFERROR(VLOOKUP(G147,Paramètres!$B$6:$F$8,3,FALSE()),"")</f>
        <v>2</v>
      </c>
      <c r="S147" s="11" t="str">
        <f t="shared" ca="1" si="14"/>
        <v>-</v>
      </c>
      <c r="T147" s="12">
        <v>46087</v>
      </c>
      <c r="U147" s="11">
        <f t="shared" si="15"/>
        <v>0</v>
      </c>
      <c r="V147" s="11">
        <f t="shared" si="16"/>
        <v>2</v>
      </c>
      <c r="W147" s="11" t="str">
        <f t="shared" si="17"/>
        <v>Hors délais</v>
      </c>
    </row>
    <row r="148" spans="1:23" ht="28.5">
      <c r="A148" s="11">
        <v>132</v>
      </c>
      <c r="B148" s="12">
        <v>46078</v>
      </c>
      <c r="C148" s="13" t="s">
        <v>415</v>
      </c>
      <c r="D148" s="13" t="s">
        <v>96</v>
      </c>
      <c r="E148" s="13" t="s">
        <v>416</v>
      </c>
      <c r="F148" s="13" t="s">
        <v>417</v>
      </c>
      <c r="G148" s="11" t="s">
        <v>39</v>
      </c>
      <c r="H148" s="11">
        <f>IFERROR(VLOOKUP(G148,Paramètres!$B$6:$F$8,2,FALSE()),"")</f>
        <v>5</v>
      </c>
      <c r="I148" s="13" t="s">
        <v>130</v>
      </c>
      <c r="J148" s="11" t="s">
        <v>48</v>
      </c>
      <c r="K148" s="12">
        <v>46078</v>
      </c>
      <c r="L148" s="12">
        <v>46079</v>
      </c>
      <c r="M148" s="13" t="s">
        <v>75</v>
      </c>
      <c r="N148" s="14" t="s">
        <v>121</v>
      </c>
      <c r="O148" s="12">
        <v>46086</v>
      </c>
      <c r="P148" s="11">
        <f t="shared" si="12"/>
        <v>8</v>
      </c>
      <c r="Q148" s="11" t="str">
        <f t="shared" ca="1" si="13"/>
        <v>-</v>
      </c>
      <c r="R148" s="11">
        <f>IFERROR(VLOOKUP(G148,Paramètres!$B$6:$F$8,3,FALSE()),"")</f>
        <v>2</v>
      </c>
      <c r="S148" s="11" t="str">
        <f t="shared" ca="1" si="14"/>
        <v>-</v>
      </c>
      <c r="T148" s="12">
        <v>46090</v>
      </c>
      <c r="U148" s="11">
        <f t="shared" si="15"/>
        <v>4</v>
      </c>
      <c r="V148" s="11">
        <f t="shared" si="16"/>
        <v>5</v>
      </c>
      <c r="W148" s="11" t="str">
        <f t="shared" si="17"/>
        <v>Hors délais</v>
      </c>
    </row>
    <row r="149" spans="1:23">
      <c r="A149" s="11">
        <v>133</v>
      </c>
      <c r="B149" s="12">
        <v>46078</v>
      </c>
      <c r="C149" s="13" t="s">
        <v>418</v>
      </c>
      <c r="D149" s="13" t="s">
        <v>59</v>
      </c>
      <c r="E149" s="13" t="s">
        <v>419</v>
      </c>
      <c r="F149" s="13" t="s">
        <v>420</v>
      </c>
      <c r="G149" s="11" t="s">
        <v>39</v>
      </c>
      <c r="H149" s="11">
        <f>IFERROR(VLOOKUP(G149,Paramètres!$B$6:$F$8,2,FALSE()),"")</f>
        <v>5</v>
      </c>
      <c r="I149" s="13" t="s">
        <v>120</v>
      </c>
      <c r="J149" s="11" t="s">
        <v>48</v>
      </c>
      <c r="K149" s="12">
        <v>46078</v>
      </c>
      <c r="L149" s="12">
        <v>46078</v>
      </c>
      <c r="M149" s="13" t="s">
        <v>61</v>
      </c>
      <c r="N149" s="14" t="s">
        <v>50</v>
      </c>
      <c r="O149" s="12">
        <v>46084</v>
      </c>
      <c r="P149" s="11">
        <f t="shared" si="12"/>
        <v>6</v>
      </c>
      <c r="Q149" s="11" t="str">
        <f t="shared" ca="1" si="13"/>
        <v>-</v>
      </c>
      <c r="R149" s="11">
        <f>IFERROR(VLOOKUP(G149,Paramètres!$B$6:$F$8,3,FALSE()),"")</f>
        <v>2</v>
      </c>
      <c r="S149" s="11" t="str">
        <f t="shared" ca="1" si="14"/>
        <v>-</v>
      </c>
      <c r="T149" s="12">
        <v>46085</v>
      </c>
      <c r="U149" s="11">
        <f t="shared" si="15"/>
        <v>1</v>
      </c>
      <c r="V149" s="11">
        <f t="shared" si="16"/>
        <v>0</v>
      </c>
      <c r="W149" s="11" t="str">
        <f t="shared" si="17"/>
        <v>Dans les délais</v>
      </c>
    </row>
    <row r="150" spans="1:23" ht="28.5">
      <c r="A150" s="11">
        <v>134</v>
      </c>
      <c r="B150" s="12">
        <v>46078</v>
      </c>
      <c r="C150" s="13" t="s">
        <v>421</v>
      </c>
      <c r="D150" s="13" t="s">
        <v>118</v>
      </c>
      <c r="E150" s="13" t="s">
        <v>422</v>
      </c>
      <c r="F150" s="13" t="s">
        <v>423</v>
      </c>
      <c r="G150" s="11" t="s">
        <v>39</v>
      </c>
      <c r="H150" s="11">
        <f>IFERROR(VLOOKUP(G150,Paramètres!$B$6:$F$8,2,FALSE()),"")</f>
        <v>5</v>
      </c>
      <c r="I150" s="13" t="s">
        <v>85</v>
      </c>
      <c r="J150" s="11" t="s">
        <v>41</v>
      </c>
      <c r="K150" s="12">
        <v>46078</v>
      </c>
      <c r="L150" s="12">
        <v>46078</v>
      </c>
      <c r="M150" s="13" t="s">
        <v>75</v>
      </c>
      <c r="N150" s="14" t="s">
        <v>87</v>
      </c>
      <c r="O150" s="12">
        <v>46085</v>
      </c>
      <c r="P150" s="11">
        <f t="shared" si="12"/>
        <v>7</v>
      </c>
      <c r="Q150" s="11" t="str">
        <f t="shared" ca="1" si="13"/>
        <v>-</v>
      </c>
      <c r="R150" s="11">
        <f>IFERROR(VLOOKUP(G150,Paramètres!$B$6:$F$8,3,FALSE()),"")</f>
        <v>2</v>
      </c>
      <c r="S150" s="11" t="str">
        <f t="shared" ca="1" si="14"/>
        <v>-</v>
      </c>
      <c r="T150" s="12">
        <v>46086</v>
      </c>
      <c r="U150" s="11">
        <f t="shared" si="15"/>
        <v>1</v>
      </c>
      <c r="V150" s="11">
        <f t="shared" si="16"/>
        <v>1</v>
      </c>
      <c r="W150" s="11" t="str">
        <f t="shared" si="17"/>
        <v>Hors délais</v>
      </c>
    </row>
    <row r="151" spans="1:23">
      <c r="A151" s="11">
        <v>135</v>
      </c>
      <c r="B151" s="12">
        <v>46079</v>
      </c>
      <c r="C151" s="13" t="s">
        <v>424</v>
      </c>
      <c r="D151" s="13" t="s">
        <v>175</v>
      </c>
      <c r="E151" s="13"/>
      <c r="F151" s="13" t="s">
        <v>425</v>
      </c>
      <c r="G151" s="11" t="s">
        <v>39</v>
      </c>
      <c r="H151" s="11">
        <f>IFERROR(VLOOKUP(G151,Paramètres!$B$6:$F$8,2,FALSE()),"")</f>
        <v>5</v>
      </c>
      <c r="I151" s="13" t="s">
        <v>426</v>
      </c>
      <c r="J151" s="11" t="s">
        <v>41</v>
      </c>
      <c r="K151" s="12">
        <v>46079</v>
      </c>
      <c r="L151" s="12">
        <v>46079</v>
      </c>
      <c r="M151" s="13" t="s">
        <v>61</v>
      </c>
      <c r="N151" s="14" t="s">
        <v>43</v>
      </c>
      <c r="O151" s="12">
        <v>46085</v>
      </c>
      <c r="P151" s="11">
        <f t="shared" si="12"/>
        <v>6</v>
      </c>
      <c r="Q151" s="11" t="str">
        <f t="shared" ca="1" si="13"/>
        <v>-</v>
      </c>
      <c r="R151" s="11">
        <f>IFERROR(VLOOKUP(G151,Paramètres!$B$6:$F$8,3,FALSE()),"")</f>
        <v>2</v>
      </c>
      <c r="S151" s="11" t="str">
        <f t="shared" ca="1" si="14"/>
        <v>-</v>
      </c>
      <c r="T151" s="12">
        <v>46085</v>
      </c>
      <c r="U151" s="11">
        <f t="shared" si="15"/>
        <v>0</v>
      </c>
      <c r="V151" s="11">
        <f t="shared" si="16"/>
        <v>-1</v>
      </c>
      <c r="W151" s="11" t="str">
        <f t="shared" si="17"/>
        <v>Dans les délais</v>
      </c>
    </row>
    <row r="152" spans="1:23">
      <c r="A152" s="11">
        <v>136</v>
      </c>
      <c r="B152" s="12">
        <v>46079</v>
      </c>
      <c r="C152" s="13" t="s">
        <v>427</v>
      </c>
      <c r="D152" s="13" t="s">
        <v>104</v>
      </c>
      <c r="E152" s="13" t="s">
        <v>428</v>
      </c>
      <c r="F152" s="13" t="s">
        <v>429</v>
      </c>
      <c r="G152" s="11" t="s">
        <v>39</v>
      </c>
      <c r="H152" s="11">
        <f>IFERROR(VLOOKUP(G152,Paramètres!$B$6:$F$8,2,FALSE()),"")</f>
        <v>5</v>
      </c>
      <c r="I152" s="13" t="s">
        <v>232</v>
      </c>
      <c r="J152" s="11" t="s">
        <v>55</v>
      </c>
      <c r="K152" s="12">
        <v>46079</v>
      </c>
      <c r="L152" s="12">
        <v>46079</v>
      </c>
      <c r="M152" s="13" t="s">
        <v>56</v>
      </c>
      <c r="N152" s="14" t="s">
        <v>57</v>
      </c>
      <c r="O152" s="12">
        <v>46097</v>
      </c>
      <c r="P152" s="11">
        <f t="shared" si="12"/>
        <v>18</v>
      </c>
      <c r="Q152" s="11" t="str">
        <f t="shared" ca="1" si="13"/>
        <v>-</v>
      </c>
      <c r="R152" s="11">
        <f>IFERROR(VLOOKUP(G152,Paramètres!$B$6:$F$8,3,FALSE()),"")</f>
        <v>2</v>
      </c>
      <c r="S152" s="11" t="str">
        <f t="shared" ca="1" si="14"/>
        <v>-</v>
      </c>
      <c r="T152" s="12">
        <v>46099</v>
      </c>
      <c r="U152" s="11">
        <f t="shared" si="15"/>
        <v>2</v>
      </c>
      <c r="V152" s="11">
        <f t="shared" si="16"/>
        <v>13</v>
      </c>
      <c r="W152" s="11" t="str">
        <f t="shared" si="17"/>
        <v>Hors délais</v>
      </c>
    </row>
    <row r="153" spans="1:23">
      <c r="A153" s="11">
        <v>137</v>
      </c>
      <c r="B153" s="12">
        <v>46080</v>
      </c>
      <c r="C153" s="13" t="s">
        <v>430</v>
      </c>
      <c r="D153" s="13" t="s">
        <v>100</v>
      </c>
      <c r="E153" s="13"/>
      <c r="F153" s="13" t="s">
        <v>431</v>
      </c>
      <c r="G153" s="11" t="s">
        <v>84</v>
      </c>
      <c r="H153" s="11">
        <f>IFERROR(VLOOKUP(G153,Paramètres!$B$6:$F$8,2,FALSE()),"")</f>
        <v>5</v>
      </c>
      <c r="I153" s="13" t="s">
        <v>91</v>
      </c>
      <c r="J153" s="11" t="s">
        <v>41</v>
      </c>
      <c r="K153" s="12">
        <v>46080</v>
      </c>
      <c r="L153" s="12">
        <v>46080</v>
      </c>
      <c r="M153" s="13" t="s">
        <v>56</v>
      </c>
      <c r="N153" s="14" t="s">
        <v>87</v>
      </c>
      <c r="O153" s="12">
        <v>46090</v>
      </c>
      <c r="P153" s="11">
        <f t="shared" si="12"/>
        <v>10</v>
      </c>
      <c r="Q153" s="11" t="str">
        <f t="shared" ca="1" si="13"/>
        <v>-</v>
      </c>
      <c r="R153" s="11">
        <f>IFERROR(VLOOKUP(G153,Paramètres!$B$6:$F$8,3,FALSE()),"")</f>
        <v>2</v>
      </c>
      <c r="S153" s="11" t="str">
        <f t="shared" ca="1" si="14"/>
        <v>-</v>
      </c>
      <c r="T153" s="12">
        <v>46091</v>
      </c>
      <c r="U153" s="11">
        <f t="shared" si="15"/>
        <v>1</v>
      </c>
      <c r="V153" s="11">
        <f t="shared" si="16"/>
        <v>4</v>
      </c>
      <c r="W153" s="11" t="str">
        <f t="shared" si="17"/>
        <v>Hors délais</v>
      </c>
    </row>
    <row r="154" spans="1:23">
      <c r="A154" s="11">
        <v>138</v>
      </c>
      <c r="B154" s="12">
        <v>46080</v>
      </c>
      <c r="C154" s="13" t="s">
        <v>432</v>
      </c>
      <c r="D154" s="13" t="s">
        <v>68</v>
      </c>
      <c r="E154" s="13" t="s">
        <v>433</v>
      </c>
      <c r="F154" s="13" t="s">
        <v>434</v>
      </c>
      <c r="G154" s="11" t="s">
        <v>53</v>
      </c>
      <c r="H154" s="11" t="str">
        <f>IFERROR(VLOOKUP(G154,Paramètres!$B$6:$F$8,2,FALSE()),"")</f>
        <v>N/A</v>
      </c>
      <c r="I154" s="13" t="s">
        <v>91</v>
      </c>
      <c r="J154" s="11" t="s">
        <v>41</v>
      </c>
      <c r="K154" s="12">
        <v>46080</v>
      </c>
      <c r="L154" s="12">
        <v>46080</v>
      </c>
      <c r="M154" s="13" t="s">
        <v>42</v>
      </c>
      <c r="N154" s="14" t="s">
        <v>76</v>
      </c>
      <c r="O154" s="12"/>
      <c r="P154" s="11" t="str">
        <f t="shared" si="12"/>
        <v>-</v>
      </c>
      <c r="Q154" s="11" t="str">
        <f t="shared" ca="1" si="13"/>
        <v>-</v>
      </c>
      <c r="R154" s="11" t="str">
        <f>IFERROR(VLOOKUP(G154,Paramètres!$B$6:$F$8,3,FALSE()),"")</f>
        <v>N/A</v>
      </c>
      <c r="S154" s="11" t="str">
        <f t="shared" ca="1" si="14"/>
        <v>-</v>
      </c>
      <c r="T154" s="12"/>
      <c r="U154" s="11" t="str">
        <f t="shared" si="15"/>
        <v>-</v>
      </c>
      <c r="V154" s="11" t="str">
        <f t="shared" si="16"/>
        <v>-</v>
      </c>
      <c r="W154" s="11" t="str">
        <f t="shared" si="17"/>
        <v>Ne nécessite pas de réponse</v>
      </c>
    </row>
    <row r="155" spans="1:23" ht="28.5">
      <c r="A155" s="11">
        <v>139</v>
      </c>
      <c r="B155" s="12">
        <v>46080</v>
      </c>
      <c r="C155" s="13" t="s">
        <v>435</v>
      </c>
      <c r="D155" s="13" t="s">
        <v>345</v>
      </c>
      <c r="E155" s="13" t="s">
        <v>436</v>
      </c>
      <c r="F155" s="13" t="s">
        <v>437</v>
      </c>
      <c r="G155" s="11" t="s">
        <v>39</v>
      </c>
      <c r="H155" s="11">
        <f>IFERROR(VLOOKUP(G155,Paramètres!$B$6:$F$8,2,FALSE()),"")</f>
        <v>5</v>
      </c>
      <c r="I155" s="13" t="s">
        <v>155</v>
      </c>
      <c r="J155" s="11" t="s">
        <v>48</v>
      </c>
      <c r="K155" s="12">
        <v>46080</v>
      </c>
      <c r="L155" s="12">
        <v>46080</v>
      </c>
      <c r="M155" s="13" t="s">
        <v>75</v>
      </c>
      <c r="N155" s="14" t="s">
        <v>186</v>
      </c>
      <c r="O155" s="12">
        <v>46086</v>
      </c>
      <c r="P155" s="11">
        <f t="shared" si="12"/>
        <v>6</v>
      </c>
      <c r="Q155" s="11" t="str">
        <f t="shared" ca="1" si="13"/>
        <v>-</v>
      </c>
      <c r="R155" s="11">
        <f>IFERROR(VLOOKUP(G155,Paramètres!$B$6:$F$8,3,FALSE()),"")</f>
        <v>2</v>
      </c>
      <c r="S155" s="11" t="str">
        <f t="shared" ca="1" si="14"/>
        <v>-</v>
      </c>
      <c r="T155" s="12">
        <v>46087</v>
      </c>
      <c r="U155" s="11">
        <f t="shared" si="15"/>
        <v>1</v>
      </c>
      <c r="V155" s="11">
        <f t="shared" si="16"/>
        <v>0</v>
      </c>
      <c r="W155" s="11" t="str">
        <f t="shared" si="17"/>
        <v>Dans les délais</v>
      </c>
    </row>
    <row r="156" spans="1:23">
      <c r="A156" s="11">
        <v>140</v>
      </c>
      <c r="B156" s="12">
        <v>46080</v>
      </c>
      <c r="C156" s="13" t="s">
        <v>438</v>
      </c>
      <c r="D156" s="13" t="s">
        <v>115</v>
      </c>
      <c r="E156" s="13" t="s">
        <v>439</v>
      </c>
      <c r="F156" s="13" t="s">
        <v>440</v>
      </c>
      <c r="G156" s="11" t="s">
        <v>39</v>
      </c>
      <c r="H156" s="11">
        <f>IFERROR(VLOOKUP(G156,Paramètres!$B$6:$F$8,2,FALSE()),"")</f>
        <v>5</v>
      </c>
      <c r="I156" s="13" t="s">
        <v>190</v>
      </c>
      <c r="J156" s="11" t="s">
        <v>48</v>
      </c>
      <c r="K156" s="12">
        <v>46083</v>
      </c>
      <c r="L156" s="12">
        <v>46083</v>
      </c>
      <c r="M156" s="13" t="s">
        <v>42</v>
      </c>
      <c r="N156" s="14" t="s">
        <v>121</v>
      </c>
      <c r="O156" s="12">
        <v>46087</v>
      </c>
      <c r="P156" s="11">
        <f t="shared" si="12"/>
        <v>7</v>
      </c>
      <c r="Q156" s="11" t="str">
        <f t="shared" ca="1" si="13"/>
        <v>-</v>
      </c>
      <c r="R156" s="11">
        <f>IFERROR(VLOOKUP(G156,Paramètres!$B$6:$F$8,3,FALSE()),"")</f>
        <v>2</v>
      </c>
      <c r="S156" s="11" t="str">
        <f t="shared" ca="1" si="14"/>
        <v>-</v>
      </c>
      <c r="T156" s="12">
        <v>46091</v>
      </c>
      <c r="U156" s="11">
        <f t="shared" si="15"/>
        <v>4</v>
      </c>
      <c r="V156" s="11">
        <f t="shared" si="16"/>
        <v>4</v>
      </c>
      <c r="W156" s="11" t="str">
        <f t="shared" si="17"/>
        <v>Hors délais</v>
      </c>
    </row>
    <row r="157" spans="1:23">
      <c r="A157" s="11">
        <v>141</v>
      </c>
      <c r="B157" s="12">
        <v>46080</v>
      </c>
      <c r="C157" s="13" t="s">
        <v>441</v>
      </c>
      <c r="D157" s="13" t="s">
        <v>89</v>
      </c>
      <c r="E157" s="13"/>
      <c r="F157" s="13" t="s">
        <v>442</v>
      </c>
      <c r="G157" s="11" t="s">
        <v>53</v>
      </c>
      <c r="H157" s="11" t="str">
        <f>IFERROR(VLOOKUP(G157,Paramètres!$B$6:$F$8,2,FALSE()),"")</f>
        <v>N/A</v>
      </c>
      <c r="I157" s="13" t="s">
        <v>185</v>
      </c>
      <c r="J157" s="11" t="s">
        <v>48</v>
      </c>
      <c r="K157" s="12">
        <v>46080</v>
      </c>
      <c r="L157" s="12">
        <v>46080</v>
      </c>
      <c r="M157" s="13" t="s">
        <v>42</v>
      </c>
      <c r="N157" s="14" t="s">
        <v>186</v>
      </c>
      <c r="O157" s="12"/>
      <c r="P157" s="11" t="str">
        <f t="shared" si="12"/>
        <v>-</v>
      </c>
      <c r="Q157" s="11" t="str">
        <f t="shared" ca="1" si="13"/>
        <v>-</v>
      </c>
      <c r="R157" s="11" t="str">
        <f>IFERROR(VLOOKUP(G157,Paramètres!$B$6:$F$8,3,FALSE()),"")</f>
        <v>N/A</v>
      </c>
      <c r="S157" s="11" t="str">
        <f t="shared" ca="1" si="14"/>
        <v>-</v>
      </c>
      <c r="T157" s="12"/>
      <c r="U157" s="11" t="str">
        <f t="shared" si="15"/>
        <v>-</v>
      </c>
      <c r="V157" s="11" t="str">
        <f t="shared" si="16"/>
        <v>-</v>
      </c>
      <c r="W157" s="11" t="str">
        <f t="shared" si="17"/>
        <v>Ne nécessite pas de réponse</v>
      </c>
    </row>
    <row r="158" spans="1:23">
      <c r="A158" s="11">
        <v>142</v>
      </c>
      <c r="B158" s="12">
        <v>46083</v>
      </c>
      <c r="C158" s="13" t="s">
        <v>443</v>
      </c>
      <c r="D158" s="13" t="s">
        <v>81</v>
      </c>
      <c r="E158" s="13"/>
      <c r="F158" s="13" t="s">
        <v>444</v>
      </c>
      <c r="G158" s="11" t="s">
        <v>39</v>
      </c>
      <c r="H158" s="11">
        <f>IFERROR(VLOOKUP(G158,Paramètres!$B$6:$F$8,2,FALSE()),"")</f>
        <v>5</v>
      </c>
      <c r="I158" s="13" t="s">
        <v>98</v>
      </c>
      <c r="J158" s="11" t="s">
        <v>41</v>
      </c>
      <c r="K158" s="12">
        <v>46083</v>
      </c>
      <c r="L158" s="12">
        <v>46083</v>
      </c>
      <c r="M158" s="13" t="s">
        <v>56</v>
      </c>
      <c r="N158" s="14" t="s">
        <v>87</v>
      </c>
      <c r="O158" s="12">
        <v>46091</v>
      </c>
      <c r="P158" s="11">
        <f t="shared" si="12"/>
        <v>8</v>
      </c>
      <c r="Q158" s="11" t="str">
        <f t="shared" ca="1" si="13"/>
        <v>-</v>
      </c>
      <c r="R158" s="11">
        <f>IFERROR(VLOOKUP(G158,Paramètres!$B$6:$F$8,3,FALSE()),"")</f>
        <v>2</v>
      </c>
      <c r="S158" s="11" t="str">
        <f t="shared" ca="1" si="14"/>
        <v>-</v>
      </c>
      <c r="T158" s="12">
        <v>46098</v>
      </c>
      <c r="U158" s="11">
        <f t="shared" si="15"/>
        <v>7</v>
      </c>
      <c r="V158" s="11">
        <f t="shared" si="16"/>
        <v>8</v>
      </c>
      <c r="W158" s="11" t="str">
        <f t="shared" si="17"/>
        <v>Hors délais</v>
      </c>
    </row>
    <row r="159" spans="1:23">
      <c r="A159" s="11">
        <v>143</v>
      </c>
      <c r="B159" s="12">
        <v>46083</v>
      </c>
      <c r="C159" s="13" t="s">
        <v>445</v>
      </c>
      <c r="D159" s="13" t="s">
        <v>118</v>
      </c>
      <c r="E159" s="13"/>
      <c r="F159" s="13" t="s">
        <v>446</v>
      </c>
      <c r="G159" s="11" t="s">
        <v>39</v>
      </c>
      <c r="H159" s="11">
        <f>IFERROR(VLOOKUP(G159,Paramètres!$B$6:$F$8,2,FALSE()),"")</f>
        <v>5</v>
      </c>
      <c r="I159" s="13" t="s">
        <v>40</v>
      </c>
      <c r="J159" s="11" t="s">
        <v>41</v>
      </c>
      <c r="K159" s="12">
        <v>46083</v>
      </c>
      <c r="L159" s="12">
        <v>46083</v>
      </c>
      <c r="M159" s="13" t="s">
        <v>61</v>
      </c>
      <c r="N159" s="14" t="s">
        <v>87</v>
      </c>
      <c r="O159" s="12">
        <v>46087</v>
      </c>
      <c r="P159" s="11">
        <f t="shared" si="12"/>
        <v>4</v>
      </c>
      <c r="Q159" s="11" t="str">
        <f t="shared" ca="1" si="13"/>
        <v>-</v>
      </c>
      <c r="R159" s="11">
        <f>IFERROR(VLOOKUP(G159,Paramètres!$B$6:$F$8,3,FALSE()),"")</f>
        <v>2</v>
      </c>
      <c r="S159" s="11" t="str">
        <f t="shared" ca="1" si="14"/>
        <v>-</v>
      </c>
      <c r="T159" s="12">
        <v>46092</v>
      </c>
      <c r="U159" s="11">
        <f t="shared" si="15"/>
        <v>5</v>
      </c>
      <c r="V159" s="11">
        <f t="shared" si="16"/>
        <v>2</v>
      </c>
      <c r="W159" s="11" t="str">
        <f t="shared" si="17"/>
        <v>Hors délais</v>
      </c>
    </row>
    <row r="160" spans="1:23">
      <c r="A160" s="11">
        <v>144</v>
      </c>
      <c r="B160" s="12">
        <v>46083</v>
      </c>
      <c r="C160" s="13" t="s">
        <v>447</v>
      </c>
      <c r="D160" s="13" t="s">
        <v>59</v>
      </c>
      <c r="E160" s="13" t="s">
        <v>448</v>
      </c>
      <c r="F160" s="13" t="s">
        <v>449</v>
      </c>
      <c r="G160" s="11" t="s">
        <v>84</v>
      </c>
      <c r="H160" s="11">
        <f>IFERROR(VLOOKUP(G160,Paramètres!$B$6:$F$8,2,FALSE()),"")</f>
        <v>5</v>
      </c>
      <c r="I160" s="13" t="s">
        <v>91</v>
      </c>
      <c r="J160" s="11" t="s">
        <v>41</v>
      </c>
      <c r="K160" s="12">
        <v>46083</v>
      </c>
      <c r="L160" s="12">
        <v>46084</v>
      </c>
      <c r="M160" s="13" t="s">
        <v>42</v>
      </c>
      <c r="N160" s="14" t="s">
        <v>87</v>
      </c>
      <c r="O160" s="12">
        <v>46090</v>
      </c>
      <c r="P160" s="11">
        <f t="shared" si="12"/>
        <v>7</v>
      </c>
      <c r="Q160" s="11" t="str">
        <f t="shared" ca="1" si="13"/>
        <v>-</v>
      </c>
      <c r="R160" s="11">
        <f>IFERROR(VLOOKUP(G160,Paramètres!$B$6:$F$8,3,FALSE()),"")</f>
        <v>2</v>
      </c>
      <c r="S160" s="11" t="str">
        <f t="shared" ca="1" si="14"/>
        <v>-</v>
      </c>
      <c r="T160" s="12">
        <v>46097</v>
      </c>
      <c r="U160" s="11">
        <f t="shared" si="15"/>
        <v>7</v>
      </c>
      <c r="V160" s="11">
        <f t="shared" si="16"/>
        <v>7</v>
      </c>
      <c r="W160" s="11" t="str">
        <f t="shared" si="17"/>
        <v>Hors délais</v>
      </c>
    </row>
    <row r="161" spans="1:23">
      <c r="A161" s="11">
        <v>145</v>
      </c>
      <c r="B161" s="12">
        <v>46083</v>
      </c>
      <c r="C161" s="13" t="s">
        <v>450</v>
      </c>
      <c r="D161" s="13" t="s">
        <v>178</v>
      </c>
      <c r="E161" s="13" t="s">
        <v>451</v>
      </c>
      <c r="F161" s="13" t="s">
        <v>452</v>
      </c>
      <c r="G161" s="11" t="s">
        <v>53</v>
      </c>
      <c r="H161" s="11" t="str">
        <f>IFERROR(VLOOKUP(G161,Paramètres!$B$6:$F$8,2,FALSE()),"")</f>
        <v>N/A</v>
      </c>
      <c r="I161" s="13" t="s">
        <v>98</v>
      </c>
      <c r="J161" s="11" t="s">
        <v>41</v>
      </c>
      <c r="K161" s="12">
        <v>46084</v>
      </c>
      <c r="L161" s="12">
        <v>46085</v>
      </c>
      <c r="M161" s="13"/>
      <c r="N161" s="14" t="s">
        <v>76</v>
      </c>
      <c r="O161" s="12"/>
      <c r="P161" s="11" t="str">
        <f t="shared" si="12"/>
        <v>-</v>
      </c>
      <c r="Q161" s="11" t="str">
        <f t="shared" ca="1" si="13"/>
        <v>-</v>
      </c>
      <c r="R161" s="11" t="str">
        <f>IFERROR(VLOOKUP(G161,Paramètres!$B$6:$F$8,3,FALSE()),"")</f>
        <v>N/A</v>
      </c>
      <c r="S161" s="11" t="str">
        <f t="shared" ca="1" si="14"/>
        <v>-</v>
      </c>
      <c r="T161" s="12"/>
      <c r="U161" s="11" t="str">
        <f t="shared" si="15"/>
        <v>-</v>
      </c>
      <c r="V161" s="11" t="str">
        <f t="shared" si="16"/>
        <v>-</v>
      </c>
      <c r="W161" s="11" t="str">
        <f t="shared" si="17"/>
        <v>Ne nécessite pas de réponse</v>
      </c>
    </row>
    <row r="162" spans="1:23">
      <c r="A162" s="11">
        <v>146</v>
      </c>
      <c r="B162" s="12">
        <v>46083</v>
      </c>
      <c r="C162" s="13" t="s">
        <v>453</v>
      </c>
      <c r="D162" s="13" t="s">
        <v>137</v>
      </c>
      <c r="E162" s="13" t="s">
        <v>454</v>
      </c>
      <c r="F162" s="13" t="s">
        <v>455</v>
      </c>
      <c r="G162" s="11" t="s">
        <v>84</v>
      </c>
      <c r="H162" s="11">
        <f>IFERROR(VLOOKUP(G162,Paramètres!$B$6:$F$8,2,FALSE()),"")</f>
        <v>5</v>
      </c>
      <c r="I162" s="13" t="s">
        <v>240</v>
      </c>
      <c r="J162" s="11" t="s">
        <v>55</v>
      </c>
      <c r="K162" s="12">
        <v>46083</v>
      </c>
      <c r="L162" s="12">
        <v>46083</v>
      </c>
      <c r="M162" s="13" t="s">
        <v>56</v>
      </c>
      <c r="N162" s="14" t="s">
        <v>102</v>
      </c>
      <c r="O162" s="12">
        <v>46087</v>
      </c>
      <c r="P162" s="11">
        <f t="shared" si="12"/>
        <v>4</v>
      </c>
      <c r="Q162" s="11" t="str">
        <f t="shared" ca="1" si="13"/>
        <v>-</v>
      </c>
      <c r="R162" s="11">
        <f>IFERROR(VLOOKUP(G162,Paramètres!$B$6:$F$8,3,FALSE()),"")</f>
        <v>2</v>
      </c>
      <c r="S162" s="11" t="str">
        <f t="shared" ca="1" si="14"/>
        <v>-</v>
      </c>
      <c r="T162" s="12">
        <v>46090</v>
      </c>
      <c r="U162" s="11">
        <f t="shared" si="15"/>
        <v>3</v>
      </c>
      <c r="V162" s="11">
        <f t="shared" si="16"/>
        <v>0</v>
      </c>
      <c r="W162" s="11" t="str">
        <f t="shared" si="17"/>
        <v>Dans les délais</v>
      </c>
    </row>
    <row r="163" spans="1:23">
      <c r="A163" s="11">
        <v>147</v>
      </c>
      <c r="B163" s="12">
        <v>46083</v>
      </c>
      <c r="C163" s="13" t="s">
        <v>456</v>
      </c>
      <c r="D163" s="13" t="s">
        <v>178</v>
      </c>
      <c r="E163" s="13"/>
      <c r="F163" s="13" t="s">
        <v>457</v>
      </c>
      <c r="G163" s="11" t="s">
        <v>53</v>
      </c>
      <c r="H163" s="11" t="str">
        <f>IFERROR(VLOOKUP(G163,Paramètres!$B$6:$F$8,2,FALSE()),"")</f>
        <v>N/A</v>
      </c>
      <c r="I163" s="13" t="s">
        <v>168</v>
      </c>
      <c r="J163" s="11" t="s">
        <v>48</v>
      </c>
      <c r="K163" s="12">
        <v>46084</v>
      </c>
      <c r="L163" s="12">
        <v>46084</v>
      </c>
      <c r="M163" s="13" t="s">
        <v>42</v>
      </c>
      <c r="N163" s="14" t="s">
        <v>121</v>
      </c>
      <c r="O163" s="12"/>
      <c r="P163" s="11" t="str">
        <f t="shared" si="12"/>
        <v>-</v>
      </c>
      <c r="Q163" s="11" t="str">
        <f t="shared" ca="1" si="13"/>
        <v>-</v>
      </c>
      <c r="R163" s="11" t="str">
        <f>IFERROR(VLOOKUP(G163,Paramètres!$B$6:$F$8,3,FALSE()),"")</f>
        <v>N/A</v>
      </c>
      <c r="S163" s="11" t="str">
        <f t="shared" ca="1" si="14"/>
        <v>-</v>
      </c>
      <c r="T163" s="12"/>
      <c r="U163" s="11" t="str">
        <f t="shared" si="15"/>
        <v>-</v>
      </c>
      <c r="V163" s="11" t="str">
        <f t="shared" si="16"/>
        <v>-</v>
      </c>
      <c r="W163" s="11" t="str">
        <f t="shared" si="17"/>
        <v>Ne nécessite pas de réponse</v>
      </c>
    </row>
    <row r="164" spans="1:23">
      <c r="A164" s="11">
        <v>148</v>
      </c>
      <c r="B164" s="12">
        <v>46084</v>
      </c>
      <c r="C164" s="13" t="s">
        <v>458</v>
      </c>
      <c r="D164" s="13" t="s">
        <v>37</v>
      </c>
      <c r="E164" s="13" t="s">
        <v>459</v>
      </c>
      <c r="F164" s="13" t="s">
        <v>460</v>
      </c>
      <c r="G164" s="11" t="s">
        <v>53</v>
      </c>
      <c r="H164" s="11" t="str">
        <f>IFERROR(VLOOKUP(G164,Paramètres!$B$6:$F$8,2,FALSE()),"")</f>
        <v>N/A</v>
      </c>
      <c r="I164" s="13" t="s">
        <v>65</v>
      </c>
      <c r="J164" s="11" t="s">
        <v>55</v>
      </c>
      <c r="K164" s="12">
        <v>46085</v>
      </c>
      <c r="L164" s="12">
        <v>46085</v>
      </c>
      <c r="M164" s="13" t="s">
        <v>42</v>
      </c>
      <c r="N164" s="14" t="s">
        <v>57</v>
      </c>
      <c r="O164" s="12"/>
      <c r="P164" s="11" t="str">
        <f t="shared" si="12"/>
        <v>-</v>
      </c>
      <c r="Q164" s="11" t="str">
        <f t="shared" ca="1" si="13"/>
        <v>-</v>
      </c>
      <c r="R164" s="11" t="str">
        <f>IFERROR(VLOOKUP(G164,Paramètres!$B$6:$F$8,3,FALSE()),"")</f>
        <v>N/A</v>
      </c>
      <c r="S164" s="11" t="str">
        <f t="shared" ca="1" si="14"/>
        <v>-</v>
      </c>
      <c r="T164" s="12"/>
      <c r="U164" s="11" t="str">
        <f t="shared" si="15"/>
        <v>-</v>
      </c>
      <c r="V164" s="11" t="str">
        <f t="shared" si="16"/>
        <v>-</v>
      </c>
      <c r="W164" s="11" t="str">
        <f t="shared" si="17"/>
        <v>Ne nécessite pas de réponse</v>
      </c>
    </row>
    <row r="165" spans="1:23">
      <c r="A165" s="11">
        <v>149</v>
      </c>
      <c r="B165" s="12">
        <v>46084</v>
      </c>
      <c r="C165" s="13" t="s">
        <v>461</v>
      </c>
      <c r="D165" s="13" t="s">
        <v>104</v>
      </c>
      <c r="E165" s="13" t="s">
        <v>462</v>
      </c>
      <c r="F165" s="13" t="s">
        <v>463</v>
      </c>
      <c r="G165" s="11" t="s">
        <v>53</v>
      </c>
      <c r="H165" s="11" t="str">
        <f>IFERROR(VLOOKUP(G165,Paramètres!$B$6:$F$8,2,FALSE()),"")</f>
        <v>N/A</v>
      </c>
      <c r="I165" s="13" t="s">
        <v>190</v>
      </c>
      <c r="J165" s="11" t="s">
        <v>48</v>
      </c>
      <c r="K165" s="12">
        <v>46084</v>
      </c>
      <c r="L165" s="12">
        <v>46084</v>
      </c>
      <c r="M165" s="13" t="s">
        <v>86</v>
      </c>
      <c r="N165" s="14" t="s">
        <v>121</v>
      </c>
      <c r="O165" s="12"/>
      <c r="P165" s="11" t="str">
        <f t="shared" si="12"/>
        <v>-</v>
      </c>
      <c r="Q165" s="11" t="str">
        <f t="shared" ca="1" si="13"/>
        <v>-</v>
      </c>
      <c r="R165" s="11" t="str">
        <f>IFERROR(VLOOKUP(G165,Paramètres!$B$6:$F$8,3,FALSE()),"")</f>
        <v>N/A</v>
      </c>
      <c r="S165" s="11" t="str">
        <f t="shared" ca="1" si="14"/>
        <v>-</v>
      </c>
      <c r="T165" s="12"/>
      <c r="U165" s="11" t="str">
        <f t="shared" si="15"/>
        <v>-</v>
      </c>
      <c r="V165" s="11" t="str">
        <f t="shared" si="16"/>
        <v>-</v>
      </c>
      <c r="W165" s="11" t="str">
        <f t="shared" si="17"/>
        <v>Ne nécessite pas de réponse</v>
      </c>
    </row>
    <row r="166" spans="1:23">
      <c r="A166" s="11">
        <v>150</v>
      </c>
      <c r="B166" s="12">
        <v>46084</v>
      </c>
      <c r="C166" s="13" t="s">
        <v>464</v>
      </c>
      <c r="D166" s="13" t="s">
        <v>68</v>
      </c>
      <c r="E166" s="13"/>
      <c r="F166" s="13" t="s">
        <v>465</v>
      </c>
      <c r="G166" s="11" t="s">
        <v>39</v>
      </c>
      <c r="H166" s="11">
        <f>IFERROR(VLOOKUP(G166,Paramètres!$B$6:$F$8,2,FALSE()),"")</f>
        <v>5</v>
      </c>
      <c r="I166" s="13" t="s">
        <v>98</v>
      </c>
      <c r="J166" s="11" t="s">
        <v>41</v>
      </c>
      <c r="K166" s="12">
        <v>46084</v>
      </c>
      <c r="L166" s="12">
        <v>46084</v>
      </c>
      <c r="M166" s="13" t="s">
        <v>61</v>
      </c>
      <c r="N166" s="14" t="s">
        <v>76</v>
      </c>
      <c r="O166" s="12">
        <v>46091</v>
      </c>
      <c r="P166" s="11">
        <f t="shared" si="12"/>
        <v>7</v>
      </c>
      <c r="Q166" s="11" t="str">
        <f t="shared" ca="1" si="13"/>
        <v>-</v>
      </c>
      <c r="R166" s="11">
        <f>IFERROR(VLOOKUP(G166,Paramètres!$B$6:$F$8,3,FALSE()),"")</f>
        <v>2</v>
      </c>
      <c r="S166" s="11" t="str">
        <f t="shared" ca="1" si="14"/>
        <v>-</v>
      </c>
      <c r="T166" s="12">
        <v>46092</v>
      </c>
      <c r="U166" s="11">
        <f t="shared" si="15"/>
        <v>1</v>
      </c>
      <c r="V166" s="11">
        <f t="shared" si="16"/>
        <v>1</v>
      </c>
      <c r="W166" s="11" t="str">
        <f t="shared" si="17"/>
        <v>Hors délais</v>
      </c>
    </row>
    <row r="167" spans="1:23" ht="28.5">
      <c r="A167" s="11">
        <v>151</v>
      </c>
      <c r="B167" s="12">
        <v>46084</v>
      </c>
      <c r="C167" s="13" t="s">
        <v>466</v>
      </c>
      <c r="D167" s="13" t="s">
        <v>89</v>
      </c>
      <c r="E167" s="13" t="s">
        <v>467</v>
      </c>
      <c r="F167" s="13" t="s">
        <v>468</v>
      </c>
      <c r="G167" s="11" t="s">
        <v>39</v>
      </c>
      <c r="H167" s="11">
        <f>IFERROR(VLOOKUP(G167,Paramètres!$B$6:$F$8,2,FALSE()),"")</f>
        <v>5</v>
      </c>
      <c r="I167" s="13" t="s">
        <v>85</v>
      </c>
      <c r="J167" s="11" t="s">
        <v>41</v>
      </c>
      <c r="K167" s="12">
        <v>46084</v>
      </c>
      <c r="L167" s="12">
        <v>46085</v>
      </c>
      <c r="M167" s="13" t="s">
        <v>75</v>
      </c>
      <c r="N167" s="14" t="s">
        <v>76</v>
      </c>
      <c r="O167" s="12">
        <v>46092</v>
      </c>
      <c r="P167" s="11">
        <f t="shared" si="12"/>
        <v>8</v>
      </c>
      <c r="Q167" s="11" t="str">
        <f t="shared" ca="1" si="13"/>
        <v>-</v>
      </c>
      <c r="R167" s="11">
        <f>IFERROR(VLOOKUP(G167,Paramètres!$B$6:$F$8,3,FALSE()),"")</f>
        <v>2</v>
      </c>
      <c r="S167" s="11" t="str">
        <f t="shared" ca="1" si="14"/>
        <v>-</v>
      </c>
      <c r="T167" s="12">
        <v>46094</v>
      </c>
      <c r="U167" s="11">
        <f t="shared" si="15"/>
        <v>2</v>
      </c>
      <c r="V167" s="11">
        <f t="shared" si="16"/>
        <v>3</v>
      </c>
      <c r="W167" s="11" t="str">
        <f t="shared" si="17"/>
        <v>Hors délais</v>
      </c>
    </row>
    <row r="168" spans="1:23">
      <c r="A168" s="11">
        <v>152</v>
      </c>
      <c r="B168" s="12">
        <v>46084</v>
      </c>
      <c r="C168" s="13" t="s">
        <v>469</v>
      </c>
      <c r="D168" s="13" t="s">
        <v>96</v>
      </c>
      <c r="E168" s="13" t="s">
        <v>470</v>
      </c>
      <c r="F168" s="13" t="s">
        <v>471</v>
      </c>
      <c r="G168" s="11" t="s">
        <v>84</v>
      </c>
      <c r="H168" s="11">
        <f>IFERROR(VLOOKUP(G168,Paramètres!$B$6:$F$8,2,FALSE()),"")</f>
        <v>5</v>
      </c>
      <c r="I168" s="13" t="s">
        <v>47</v>
      </c>
      <c r="J168" s="11" t="s">
        <v>48</v>
      </c>
      <c r="K168" s="12">
        <v>46084</v>
      </c>
      <c r="L168" s="12">
        <v>46084</v>
      </c>
      <c r="M168" s="13" t="s">
        <v>42</v>
      </c>
      <c r="N168" s="14" t="s">
        <v>121</v>
      </c>
      <c r="O168" s="12">
        <v>46091</v>
      </c>
      <c r="P168" s="11">
        <f t="shared" si="12"/>
        <v>7</v>
      </c>
      <c r="Q168" s="11" t="str">
        <f t="shared" ca="1" si="13"/>
        <v>-</v>
      </c>
      <c r="R168" s="11">
        <f>IFERROR(VLOOKUP(G168,Paramètres!$B$6:$F$8,3,FALSE()),"")</f>
        <v>2</v>
      </c>
      <c r="S168" s="11" t="str">
        <f t="shared" ca="1" si="14"/>
        <v>-</v>
      </c>
      <c r="T168" s="12">
        <v>46091</v>
      </c>
      <c r="U168" s="11">
        <f t="shared" si="15"/>
        <v>0</v>
      </c>
      <c r="V168" s="11">
        <f t="shared" si="16"/>
        <v>0</v>
      </c>
      <c r="W168" s="11" t="str">
        <f t="shared" si="17"/>
        <v>Dans les délais</v>
      </c>
    </row>
    <row r="169" spans="1:23" ht="28.5">
      <c r="A169" s="11">
        <v>153</v>
      </c>
      <c r="B169" s="12">
        <v>46085</v>
      </c>
      <c r="C169" s="13" t="s">
        <v>472</v>
      </c>
      <c r="D169" s="13" t="s">
        <v>96</v>
      </c>
      <c r="E169" s="13"/>
      <c r="F169" s="13" t="s">
        <v>473</v>
      </c>
      <c r="G169" s="11" t="s">
        <v>39</v>
      </c>
      <c r="H169" s="11">
        <f>IFERROR(VLOOKUP(G169,Paramètres!$B$6:$F$8,2,FALSE()),"")</f>
        <v>5</v>
      </c>
      <c r="I169" s="13" t="s">
        <v>47</v>
      </c>
      <c r="J169" s="11" t="s">
        <v>48</v>
      </c>
      <c r="K169" s="12">
        <v>46085</v>
      </c>
      <c r="L169" s="12">
        <v>46085</v>
      </c>
      <c r="M169" s="13" t="s">
        <v>75</v>
      </c>
      <c r="N169" s="14" t="s">
        <v>50</v>
      </c>
      <c r="O169" s="12">
        <v>46093</v>
      </c>
      <c r="P169" s="11">
        <f t="shared" si="12"/>
        <v>8</v>
      </c>
      <c r="Q169" s="11" t="str">
        <f t="shared" ca="1" si="13"/>
        <v>-</v>
      </c>
      <c r="R169" s="11">
        <f>IFERROR(VLOOKUP(G169,Paramètres!$B$6:$F$8,3,FALSE()),"")</f>
        <v>2</v>
      </c>
      <c r="S169" s="11" t="str">
        <f t="shared" ca="1" si="14"/>
        <v>-</v>
      </c>
      <c r="T169" s="12">
        <v>46097</v>
      </c>
      <c r="U169" s="11">
        <f t="shared" si="15"/>
        <v>4</v>
      </c>
      <c r="V169" s="11">
        <f t="shared" si="16"/>
        <v>5</v>
      </c>
      <c r="W169" s="11" t="str">
        <f t="shared" si="17"/>
        <v>Hors délais</v>
      </c>
    </row>
    <row r="170" spans="1:23">
      <c r="A170" s="11">
        <v>154</v>
      </c>
      <c r="B170" s="12">
        <v>46085</v>
      </c>
      <c r="C170" s="13" t="s">
        <v>474</v>
      </c>
      <c r="D170" s="13" t="s">
        <v>115</v>
      </c>
      <c r="E170" s="13"/>
      <c r="F170" s="13" t="s">
        <v>475</v>
      </c>
      <c r="G170" s="11" t="s">
        <v>39</v>
      </c>
      <c r="H170" s="11">
        <f>IFERROR(VLOOKUP(G170,Paramètres!$B$6:$F$8,2,FALSE()),"")</f>
        <v>5</v>
      </c>
      <c r="I170" s="13" t="s">
        <v>85</v>
      </c>
      <c r="J170" s="11" t="s">
        <v>41</v>
      </c>
      <c r="K170" s="12">
        <v>46085</v>
      </c>
      <c r="L170" s="12">
        <v>46086</v>
      </c>
      <c r="M170" s="13" t="s">
        <v>61</v>
      </c>
      <c r="N170" s="14" t="s">
        <v>43</v>
      </c>
      <c r="O170" s="12">
        <v>46092</v>
      </c>
      <c r="P170" s="11">
        <f t="shared" si="12"/>
        <v>7</v>
      </c>
      <c r="Q170" s="11" t="str">
        <f t="shared" ca="1" si="13"/>
        <v>-</v>
      </c>
      <c r="R170" s="11">
        <f>IFERROR(VLOOKUP(G170,Paramètres!$B$6:$F$8,3,FALSE()),"")</f>
        <v>2</v>
      </c>
      <c r="S170" s="11" t="str">
        <f t="shared" ca="1" si="14"/>
        <v>-</v>
      </c>
      <c r="T170" s="12">
        <v>46092</v>
      </c>
      <c r="U170" s="11">
        <f t="shared" si="15"/>
        <v>0</v>
      </c>
      <c r="V170" s="11">
        <f t="shared" si="16"/>
        <v>0</v>
      </c>
      <c r="W170" s="11" t="str">
        <f t="shared" si="17"/>
        <v>Dans les délais</v>
      </c>
    </row>
    <row r="171" spans="1:23">
      <c r="A171" s="11">
        <v>155</v>
      </c>
      <c r="B171" s="12">
        <v>46086</v>
      </c>
      <c r="C171" s="13" t="s">
        <v>476</v>
      </c>
      <c r="D171" s="13" t="s">
        <v>96</v>
      </c>
      <c r="E171" s="13" t="s">
        <v>477</v>
      </c>
      <c r="F171" s="13" t="s">
        <v>478</v>
      </c>
      <c r="G171" s="11" t="s">
        <v>53</v>
      </c>
      <c r="H171" s="11" t="str">
        <f>IFERROR(VLOOKUP(G171,Paramètres!$B$6:$F$8,2,FALSE()),"")</f>
        <v>N/A</v>
      </c>
      <c r="I171" s="13" t="s">
        <v>130</v>
      </c>
      <c r="J171" s="11" t="s">
        <v>48</v>
      </c>
      <c r="K171" s="12">
        <v>46087</v>
      </c>
      <c r="L171" s="12">
        <v>46087</v>
      </c>
      <c r="M171" s="13" t="s">
        <v>56</v>
      </c>
      <c r="N171" s="14" t="s">
        <v>121</v>
      </c>
      <c r="O171" s="12"/>
      <c r="P171" s="11" t="str">
        <f t="shared" si="12"/>
        <v>-</v>
      </c>
      <c r="Q171" s="11" t="str">
        <f t="shared" ca="1" si="13"/>
        <v>-</v>
      </c>
      <c r="R171" s="11" t="str">
        <f>IFERROR(VLOOKUP(G171,Paramètres!$B$6:$F$8,3,FALSE()),"")</f>
        <v>N/A</v>
      </c>
      <c r="S171" s="11" t="str">
        <f t="shared" ca="1" si="14"/>
        <v>-</v>
      </c>
      <c r="T171" s="12"/>
      <c r="U171" s="11" t="str">
        <f t="shared" si="15"/>
        <v>-</v>
      </c>
      <c r="V171" s="11" t="str">
        <f t="shared" si="16"/>
        <v>-</v>
      </c>
      <c r="W171" s="11" t="str">
        <f t="shared" si="17"/>
        <v>Ne nécessite pas de réponse</v>
      </c>
    </row>
    <row r="172" spans="1:23">
      <c r="A172" s="11">
        <v>156</v>
      </c>
      <c r="B172" s="12">
        <v>46086</v>
      </c>
      <c r="C172" s="13" t="s">
        <v>479</v>
      </c>
      <c r="D172" s="13" t="s">
        <v>45</v>
      </c>
      <c r="E172" s="13" t="s">
        <v>480</v>
      </c>
      <c r="F172" s="13" t="s">
        <v>481</v>
      </c>
      <c r="G172" s="11" t="s">
        <v>39</v>
      </c>
      <c r="H172" s="11">
        <f>IFERROR(VLOOKUP(G172,Paramètres!$B$6:$F$8,2,FALSE()),"")</f>
        <v>5</v>
      </c>
      <c r="I172" s="13" t="s">
        <v>130</v>
      </c>
      <c r="J172" s="11" t="s">
        <v>48</v>
      </c>
      <c r="K172" s="12">
        <v>46086</v>
      </c>
      <c r="L172" s="12">
        <v>46086</v>
      </c>
      <c r="M172" s="13"/>
      <c r="N172" s="14" t="s">
        <v>121</v>
      </c>
      <c r="O172" s="12">
        <v>46097</v>
      </c>
      <c r="P172" s="11">
        <f t="shared" si="12"/>
        <v>11</v>
      </c>
      <c r="Q172" s="11" t="str">
        <f t="shared" ca="1" si="13"/>
        <v>-</v>
      </c>
      <c r="R172" s="11">
        <f>IFERROR(VLOOKUP(G172,Paramètres!$B$6:$F$8,3,FALSE()),"")</f>
        <v>2</v>
      </c>
      <c r="S172" s="11" t="str">
        <f t="shared" ca="1" si="14"/>
        <v>-</v>
      </c>
      <c r="T172" s="12">
        <v>46097</v>
      </c>
      <c r="U172" s="11">
        <f t="shared" si="15"/>
        <v>0</v>
      </c>
      <c r="V172" s="11">
        <f t="shared" si="16"/>
        <v>4</v>
      </c>
      <c r="W172" s="11" t="str">
        <f t="shared" si="17"/>
        <v>Hors délais</v>
      </c>
    </row>
    <row r="173" spans="1:23">
      <c r="A173" s="11">
        <v>157</v>
      </c>
      <c r="B173" s="12">
        <v>46086</v>
      </c>
      <c r="C173" s="13" t="s">
        <v>482</v>
      </c>
      <c r="D173" s="13" t="s">
        <v>59</v>
      </c>
      <c r="E173" s="13" t="s">
        <v>483</v>
      </c>
      <c r="F173" s="13" t="s">
        <v>484</v>
      </c>
      <c r="G173" s="11" t="s">
        <v>84</v>
      </c>
      <c r="H173" s="11">
        <f>IFERROR(VLOOKUP(G173,Paramètres!$B$6:$F$8,2,FALSE()),"")</f>
        <v>5</v>
      </c>
      <c r="I173" s="13" t="s">
        <v>71</v>
      </c>
      <c r="J173" s="11" t="s">
        <v>41</v>
      </c>
      <c r="K173" s="12">
        <v>46086</v>
      </c>
      <c r="L173" s="12">
        <v>46087</v>
      </c>
      <c r="M173" s="13" t="s">
        <v>61</v>
      </c>
      <c r="N173" s="14" t="s">
        <v>76</v>
      </c>
      <c r="O173" s="12"/>
      <c r="P173" s="11" t="str">
        <f t="shared" si="12"/>
        <v/>
      </c>
      <c r="Q173" s="11" t="str">
        <f t="shared" ca="1" si="13"/>
        <v>ROUGE</v>
      </c>
      <c r="R173" s="11">
        <f>IFERROR(VLOOKUP(G173,Paramètres!$B$6:$F$8,3,FALSE()),"")</f>
        <v>2</v>
      </c>
      <c r="S173" s="11" t="str">
        <f t="shared" ca="1" si="14"/>
        <v/>
      </c>
      <c r="T173" s="12"/>
      <c r="U173" s="11" t="str">
        <f t="shared" si="15"/>
        <v/>
      </c>
      <c r="V173" s="11" t="str">
        <f t="shared" si="16"/>
        <v/>
      </c>
      <c r="W173" s="11" t="str">
        <f t="shared" si="17"/>
        <v/>
      </c>
    </row>
    <row r="174" spans="1:23">
      <c r="A174" s="11">
        <v>158</v>
      </c>
      <c r="B174" s="12">
        <v>46087</v>
      </c>
      <c r="C174" s="13" t="s">
        <v>485</v>
      </c>
      <c r="D174" s="13" t="s">
        <v>137</v>
      </c>
      <c r="E174" s="13" t="s">
        <v>486</v>
      </c>
      <c r="F174" s="13" t="s">
        <v>487</v>
      </c>
      <c r="G174" s="11" t="s">
        <v>39</v>
      </c>
      <c r="H174" s="11">
        <f>IFERROR(VLOOKUP(G174,Paramètres!$B$6:$F$8,2,FALSE()),"")</f>
        <v>5</v>
      </c>
      <c r="I174" s="13" t="s">
        <v>185</v>
      </c>
      <c r="J174" s="11" t="s">
        <v>48</v>
      </c>
      <c r="K174" s="12">
        <v>46087</v>
      </c>
      <c r="L174" s="12">
        <v>46087</v>
      </c>
      <c r="M174" s="13" t="s">
        <v>86</v>
      </c>
      <c r="N174" s="14" t="s">
        <v>186</v>
      </c>
      <c r="O174" s="12">
        <v>46091</v>
      </c>
      <c r="P174" s="11">
        <f t="shared" si="12"/>
        <v>4</v>
      </c>
      <c r="Q174" s="11" t="str">
        <f t="shared" ca="1" si="13"/>
        <v>-</v>
      </c>
      <c r="R174" s="11">
        <f>IFERROR(VLOOKUP(G174,Paramètres!$B$6:$F$8,3,FALSE()),"")</f>
        <v>2</v>
      </c>
      <c r="S174" s="11" t="str">
        <f t="shared" ca="1" si="14"/>
        <v>-</v>
      </c>
      <c r="T174" s="12">
        <v>46092</v>
      </c>
      <c r="U174" s="11">
        <f t="shared" si="15"/>
        <v>1</v>
      </c>
      <c r="V174" s="11">
        <f t="shared" si="16"/>
        <v>-2</v>
      </c>
      <c r="W174" s="11" t="str">
        <f t="shared" si="17"/>
        <v>Dans les délais</v>
      </c>
    </row>
    <row r="175" spans="1:23">
      <c r="A175" s="11">
        <v>159</v>
      </c>
      <c r="B175" s="12">
        <v>46087</v>
      </c>
      <c r="C175" s="13" t="s">
        <v>488</v>
      </c>
      <c r="D175" s="13" t="s">
        <v>100</v>
      </c>
      <c r="E175" s="13"/>
      <c r="F175" s="13" t="s">
        <v>489</v>
      </c>
      <c r="G175" s="11" t="s">
        <v>39</v>
      </c>
      <c r="H175" s="11">
        <f>IFERROR(VLOOKUP(G175,Paramètres!$B$6:$F$8,2,FALSE()),"")</f>
        <v>5</v>
      </c>
      <c r="I175" s="13" t="s">
        <v>185</v>
      </c>
      <c r="J175" s="11" t="s">
        <v>48</v>
      </c>
      <c r="K175" s="12">
        <v>46090</v>
      </c>
      <c r="L175" s="12">
        <v>46090</v>
      </c>
      <c r="M175" s="13"/>
      <c r="N175" s="14" t="s">
        <v>186</v>
      </c>
      <c r="O175" s="12">
        <v>46092</v>
      </c>
      <c r="P175" s="11">
        <f t="shared" si="12"/>
        <v>5</v>
      </c>
      <c r="Q175" s="11" t="str">
        <f t="shared" ca="1" si="13"/>
        <v>-</v>
      </c>
      <c r="R175" s="11">
        <f>IFERROR(VLOOKUP(G175,Paramètres!$B$6:$F$8,3,FALSE()),"")</f>
        <v>2</v>
      </c>
      <c r="S175" s="11" t="str">
        <f t="shared" ca="1" si="14"/>
        <v>-</v>
      </c>
      <c r="T175" s="12">
        <v>46093</v>
      </c>
      <c r="U175" s="11">
        <f t="shared" si="15"/>
        <v>1</v>
      </c>
      <c r="V175" s="11">
        <f t="shared" si="16"/>
        <v>-1</v>
      </c>
      <c r="W175" s="11" t="str">
        <f t="shared" si="17"/>
        <v>Dans les délais</v>
      </c>
    </row>
    <row r="176" spans="1:23">
      <c r="A176" s="11">
        <v>160</v>
      </c>
      <c r="B176" s="12">
        <v>46087</v>
      </c>
      <c r="C176" s="13" t="s">
        <v>490</v>
      </c>
      <c r="D176" s="13" t="s">
        <v>96</v>
      </c>
      <c r="E176" s="13"/>
      <c r="F176" s="13" t="s">
        <v>491</v>
      </c>
      <c r="G176" s="11" t="s">
        <v>53</v>
      </c>
      <c r="H176" s="11" t="str">
        <f>IFERROR(VLOOKUP(G176,Paramètres!$B$6:$F$8,2,FALSE()),"")</f>
        <v>N/A</v>
      </c>
      <c r="I176" s="13" t="s">
        <v>130</v>
      </c>
      <c r="J176" s="11" t="s">
        <v>48</v>
      </c>
      <c r="K176" s="12">
        <v>46087</v>
      </c>
      <c r="L176" s="12">
        <v>46087</v>
      </c>
      <c r="M176" s="13" t="s">
        <v>56</v>
      </c>
      <c r="N176" s="14" t="s">
        <v>121</v>
      </c>
      <c r="O176" s="12"/>
      <c r="P176" s="11" t="str">
        <f t="shared" si="12"/>
        <v>-</v>
      </c>
      <c r="Q176" s="11" t="str">
        <f t="shared" ca="1" si="13"/>
        <v>-</v>
      </c>
      <c r="R176" s="11" t="str">
        <f>IFERROR(VLOOKUP(G176,Paramètres!$B$6:$F$8,3,FALSE()),"")</f>
        <v>N/A</v>
      </c>
      <c r="S176" s="11" t="str">
        <f t="shared" ca="1" si="14"/>
        <v>-</v>
      </c>
      <c r="T176" s="12"/>
      <c r="U176" s="11" t="str">
        <f t="shared" si="15"/>
        <v>-</v>
      </c>
      <c r="V176" s="11" t="str">
        <f t="shared" si="16"/>
        <v>-</v>
      </c>
      <c r="W176" s="11" t="str">
        <f t="shared" si="17"/>
        <v>Ne nécessite pas de réponse</v>
      </c>
    </row>
    <row r="177" spans="1:23" ht="28.5">
      <c r="A177" s="11">
        <v>161</v>
      </c>
      <c r="B177" s="12">
        <v>46087</v>
      </c>
      <c r="C177" s="13" t="s">
        <v>492</v>
      </c>
      <c r="D177" s="13" t="s">
        <v>96</v>
      </c>
      <c r="E177" s="13" t="s">
        <v>493</v>
      </c>
      <c r="F177" s="13" t="s">
        <v>494</v>
      </c>
      <c r="G177" s="11" t="s">
        <v>39</v>
      </c>
      <c r="H177" s="11">
        <f>IFERROR(VLOOKUP(G177,Paramètres!$B$6:$F$8,2,FALSE()),"")</f>
        <v>5</v>
      </c>
      <c r="I177" s="13" t="s">
        <v>168</v>
      </c>
      <c r="J177" s="11" t="s">
        <v>48</v>
      </c>
      <c r="K177" s="12">
        <v>46087</v>
      </c>
      <c r="L177" s="12">
        <v>46087</v>
      </c>
      <c r="M177" s="13" t="s">
        <v>75</v>
      </c>
      <c r="N177" s="14" t="s">
        <v>50</v>
      </c>
      <c r="O177" s="12">
        <v>46093</v>
      </c>
      <c r="P177" s="11">
        <f t="shared" si="12"/>
        <v>6</v>
      </c>
      <c r="Q177" s="11" t="str">
        <f t="shared" ca="1" si="13"/>
        <v>-</v>
      </c>
      <c r="R177" s="11">
        <f>IFERROR(VLOOKUP(G177,Paramètres!$B$6:$F$8,3,FALSE()),"")</f>
        <v>2</v>
      </c>
      <c r="S177" s="11" t="str">
        <f t="shared" ca="1" si="14"/>
        <v>-</v>
      </c>
      <c r="T177" s="12">
        <v>46097</v>
      </c>
      <c r="U177" s="11">
        <f t="shared" si="15"/>
        <v>4</v>
      </c>
      <c r="V177" s="11">
        <f t="shared" si="16"/>
        <v>3</v>
      </c>
      <c r="W177" s="11" t="str">
        <f t="shared" si="17"/>
        <v>Hors délais</v>
      </c>
    </row>
    <row r="178" spans="1:23">
      <c r="A178" s="11">
        <v>162</v>
      </c>
      <c r="B178" s="12">
        <v>46087</v>
      </c>
      <c r="C178" s="13" t="s">
        <v>495</v>
      </c>
      <c r="D178" s="13" t="s">
        <v>145</v>
      </c>
      <c r="E178" s="13" t="s">
        <v>496</v>
      </c>
      <c r="F178" s="13" t="s">
        <v>497</v>
      </c>
      <c r="G178" s="11" t="s">
        <v>39</v>
      </c>
      <c r="H178" s="11">
        <f>IFERROR(VLOOKUP(G178,Paramètres!$B$6:$F$8,2,FALSE()),"")</f>
        <v>5</v>
      </c>
      <c r="I178" s="13" t="s">
        <v>232</v>
      </c>
      <c r="J178" s="11" t="s">
        <v>55</v>
      </c>
      <c r="K178" s="12">
        <v>46087</v>
      </c>
      <c r="L178" s="12">
        <v>46087</v>
      </c>
      <c r="M178" s="13" t="s">
        <v>42</v>
      </c>
      <c r="N178" s="14" t="s">
        <v>66</v>
      </c>
      <c r="O178" s="12">
        <v>46092</v>
      </c>
      <c r="P178" s="11">
        <f t="shared" si="12"/>
        <v>5</v>
      </c>
      <c r="Q178" s="11" t="str">
        <f t="shared" ca="1" si="13"/>
        <v>-</v>
      </c>
      <c r="R178" s="11">
        <f>IFERROR(VLOOKUP(G178,Paramètres!$B$6:$F$8,3,FALSE()),"")</f>
        <v>2</v>
      </c>
      <c r="S178" s="11" t="str">
        <f t="shared" ca="1" si="14"/>
        <v>-</v>
      </c>
      <c r="T178" s="12">
        <v>46094</v>
      </c>
      <c r="U178" s="11">
        <f t="shared" si="15"/>
        <v>2</v>
      </c>
      <c r="V178" s="11">
        <f t="shared" si="16"/>
        <v>0</v>
      </c>
      <c r="W178" s="11" t="str">
        <f t="shared" si="17"/>
        <v>Dans les délais</v>
      </c>
    </row>
    <row r="179" spans="1:23">
      <c r="A179" s="11">
        <v>163</v>
      </c>
      <c r="B179" s="12">
        <v>46087</v>
      </c>
      <c r="C179" s="13" t="s">
        <v>498</v>
      </c>
      <c r="D179" s="13" t="s">
        <v>230</v>
      </c>
      <c r="E179" s="13"/>
      <c r="F179" s="13" t="s">
        <v>499</v>
      </c>
      <c r="G179" s="11" t="s">
        <v>39</v>
      </c>
      <c r="H179" s="11">
        <f>IFERROR(VLOOKUP(G179,Paramètres!$B$6:$F$8,2,FALSE()),"")</f>
        <v>5</v>
      </c>
      <c r="I179" s="13" t="s">
        <v>47</v>
      </c>
      <c r="J179" s="11" t="s">
        <v>48</v>
      </c>
      <c r="K179" s="12">
        <v>46087</v>
      </c>
      <c r="L179" s="12">
        <v>46090</v>
      </c>
      <c r="M179" s="13"/>
      <c r="N179" s="14" t="s">
        <v>121</v>
      </c>
      <c r="O179" s="12">
        <v>46094</v>
      </c>
      <c r="P179" s="11">
        <f t="shared" si="12"/>
        <v>7</v>
      </c>
      <c r="Q179" s="11" t="str">
        <f t="shared" ca="1" si="13"/>
        <v>-</v>
      </c>
      <c r="R179" s="11">
        <f>IFERROR(VLOOKUP(G179,Paramètres!$B$6:$F$8,3,FALSE()),"")</f>
        <v>2</v>
      </c>
      <c r="S179" s="11" t="str">
        <f t="shared" ca="1" si="14"/>
        <v>-</v>
      </c>
      <c r="T179" s="12">
        <v>46098</v>
      </c>
      <c r="U179" s="11">
        <f t="shared" si="15"/>
        <v>4</v>
      </c>
      <c r="V179" s="11">
        <f t="shared" si="16"/>
        <v>4</v>
      </c>
      <c r="W179" s="11" t="str">
        <f t="shared" si="17"/>
        <v>Hors délais</v>
      </c>
    </row>
    <row r="180" spans="1:23">
      <c r="A180" s="11">
        <v>164</v>
      </c>
      <c r="B180" s="12">
        <v>46087</v>
      </c>
      <c r="C180" s="13" t="s">
        <v>500</v>
      </c>
      <c r="D180" s="13" t="s">
        <v>104</v>
      </c>
      <c r="E180" s="13" t="s">
        <v>501</v>
      </c>
      <c r="F180" s="13" t="s">
        <v>502</v>
      </c>
      <c r="G180" s="11" t="s">
        <v>39</v>
      </c>
      <c r="H180" s="11">
        <f>IFERROR(VLOOKUP(G180,Paramètres!$B$6:$F$8,2,FALSE()),"")</f>
        <v>5</v>
      </c>
      <c r="I180" s="13" t="s">
        <v>47</v>
      </c>
      <c r="J180" s="11" t="s">
        <v>48</v>
      </c>
      <c r="K180" s="12">
        <v>46087</v>
      </c>
      <c r="L180" s="12">
        <v>46090</v>
      </c>
      <c r="M180" s="13" t="s">
        <v>49</v>
      </c>
      <c r="N180" s="14" t="s">
        <v>186</v>
      </c>
      <c r="O180" s="12">
        <v>46097</v>
      </c>
      <c r="P180" s="11">
        <f t="shared" si="12"/>
        <v>10</v>
      </c>
      <c r="Q180" s="11" t="str">
        <f t="shared" ca="1" si="13"/>
        <v>-</v>
      </c>
      <c r="R180" s="11">
        <f>IFERROR(VLOOKUP(G180,Paramètres!$B$6:$F$8,3,FALSE()),"")</f>
        <v>2</v>
      </c>
      <c r="S180" s="11" t="str">
        <f t="shared" ca="1" si="14"/>
        <v>-</v>
      </c>
      <c r="T180" s="12">
        <v>46097</v>
      </c>
      <c r="U180" s="11">
        <f t="shared" si="15"/>
        <v>0</v>
      </c>
      <c r="V180" s="11">
        <f t="shared" si="16"/>
        <v>3</v>
      </c>
      <c r="W180" s="11" t="str">
        <f t="shared" si="17"/>
        <v>Hors délais</v>
      </c>
    </row>
    <row r="181" spans="1:23">
      <c r="A181" s="11">
        <v>165</v>
      </c>
      <c r="B181" s="12">
        <v>46090</v>
      </c>
      <c r="C181" s="13" t="s">
        <v>503</v>
      </c>
      <c r="D181" s="13" t="s">
        <v>68</v>
      </c>
      <c r="E181" s="13"/>
      <c r="F181" s="13" t="s">
        <v>504</v>
      </c>
      <c r="G181" s="11" t="s">
        <v>39</v>
      </c>
      <c r="H181" s="11">
        <f>IFERROR(VLOOKUP(G181,Paramètres!$B$6:$F$8,2,FALSE()),"")</f>
        <v>5</v>
      </c>
      <c r="I181" s="13" t="s">
        <v>240</v>
      </c>
      <c r="J181" s="11" t="s">
        <v>55</v>
      </c>
      <c r="K181" s="12">
        <v>46091</v>
      </c>
      <c r="L181" s="12">
        <v>46091</v>
      </c>
      <c r="M181" s="13"/>
      <c r="N181" s="14" t="s">
        <v>66</v>
      </c>
      <c r="O181" s="12">
        <v>46101</v>
      </c>
      <c r="P181" s="11">
        <f t="shared" si="12"/>
        <v>11</v>
      </c>
      <c r="Q181" s="11" t="str">
        <f t="shared" ca="1" si="13"/>
        <v>-</v>
      </c>
      <c r="R181" s="11">
        <f>IFERROR(VLOOKUP(G181,Paramètres!$B$6:$F$8,3,FALSE()),"")</f>
        <v>2</v>
      </c>
      <c r="S181" s="11" t="str">
        <f t="shared" ca="1" si="14"/>
        <v>-</v>
      </c>
      <c r="T181" s="12">
        <v>46108</v>
      </c>
      <c r="U181" s="11">
        <f t="shared" si="15"/>
        <v>7</v>
      </c>
      <c r="V181" s="11">
        <f t="shared" si="16"/>
        <v>11</v>
      </c>
      <c r="W181" s="11" t="str">
        <f t="shared" si="17"/>
        <v>Hors délais</v>
      </c>
    </row>
    <row r="182" spans="1:23">
      <c r="A182" s="11">
        <v>166</v>
      </c>
      <c r="B182" s="12">
        <v>46090</v>
      </c>
      <c r="C182" s="13" t="s">
        <v>505</v>
      </c>
      <c r="D182" s="13" t="s">
        <v>123</v>
      </c>
      <c r="E182" s="13" t="s">
        <v>506</v>
      </c>
      <c r="F182" s="13" t="s">
        <v>507</v>
      </c>
      <c r="G182" s="11" t="s">
        <v>39</v>
      </c>
      <c r="H182" s="11">
        <f>IFERROR(VLOOKUP(G182,Paramètres!$B$6:$F$8,2,FALSE()),"")</f>
        <v>5</v>
      </c>
      <c r="I182" s="13" t="s">
        <v>185</v>
      </c>
      <c r="J182" s="11" t="s">
        <v>48</v>
      </c>
      <c r="K182" s="12">
        <v>46090</v>
      </c>
      <c r="L182" s="12">
        <v>46090</v>
      </c>
      <c r="M182" s="13" t="s">
        <v>86</v>
      </c>
      <c r="N182" s="14" t="s">
        <v>121</v>
      </c>
      <c r="O182" s="12">
        <v>46093</v>
      </c>
      <c r="P182" s="11">
        <f t="shared" si="12"/>
        <v>3</v>
      </c>
      <c r="Q182" s="11" t="str">
        <f t="shared" ca="1" si="13"/>
        <v>-</v>
      </c>
      <c r="R182" s="11">
        <f>IFERROR(VLOOKUP(G182,Paramètres!$B$6:$F$8,3,FALSE()),"")</f>
        <v>2</v>
      </c>
      <c r="S182" s="11" t="str">
        <f t="shared" ca="1" si="14"/>
        <v>-</v>
      </c>
      <c r="T182" s="12">
        <v>46097</v>
      </c>
      <c r="U182" s="11">
        <f t="shared" si="15"/>
        <v>4</v>
      </c>
      <c r="V182" s="11">
        <f t="shared" si="16"/>
        <v>0</v>
      </c>
      <c r="W182" s="11" t="str">
        <f t="shared" si="17"/>
        <v>Dans les délais</v>
      </c>
    </row>
    <row r="183" spans="1:23">
      <c r="A183" s="11">
        <v>167</v>
      </c>
      <c r="B183" s="12">
        <v>46091</v>
      </c>
      <c r="C183" s="13" t="s">
        <v>508</v>
      </c>
      <c r="D183" s="13" t="s">
        <v>45</v>
      </c>
      <c r="E183" s="13" t="s">
        <v>509</v>
      </c>
      <c r="F183" s="13" t="s">
        <v>510</v>
      </c>
      <c r="G183" s="11" t="s">
        <v>39</v>
      </c>
      <c r="H183" s="11">
        <f>IFERROR(VLOOKUP(G183,Paramètres!$B$6:$F$8,2,FALSE()),"")</f>
        <v>5</v>
      </c>
      <c r="I183" s="13" t="s">
        <v>91</v>
      </c>
      <c r="J183" s="11" t="s">
        <v>41</v>
      </c>
      <c r="K183" s="12">
        <v>46092</v>
      </c>
      <c r="L183" s="12">
        <v>46092</v>
      </c>
      <c r="M183" s="13" t="s">
        <v>42</v>
      </c>
      <c r="N183" s="14" t="s">
        <v>76</v>
      </c>
      <c r="O183" s="12">
        <v>46093</v>
      </c>
      <c r="P183" s="11">
        <f t="shared" si="12"/>
        <v>2</v>
      </c>
      <c r="Q183" s="11" t="str">
        <f t="shared" ca="1" si="13"/>
        <v>-</v>
      </c>
      <c r="R183" s="11">
        <f>IFERROR(VLOOKUP(G183,Paramètres!$B$6:$F$8,3,FALSE()),"")</f>
        <v>2</v>
      </c>
      <c r="S183" s="11" t="str">
        <f t="shared" ca="1" si="14"/>
        <v>-</v>
      </c>
      <c r="T183" s="12">
        <v>46097</v>
      </c>
      <c r="U183" s="11">
        <f t="shared" si="15"/>
        <v>4</v>
      </c>
      <c r="V183" s="11">
        <f t="shared" si="16"/>
        <v>-1</v>
      </c>
      <c r="W183" s="11" t="str">
        <f t="shared" si="17"/>
        <v>Dans les délais</v>
      </c>
    </row>
    <row r="184" spans="1:23">
      <c r="A184" s="11">
        <v>168</v>
      </c>
      <c r="B184" s="12">
        <v>46091</v>
      </c>
      <c r="C184" s="13" t="s">
        <v>511</v>
      </c>
      <c r="D184" s="13" t="s">
        <v>345</v>
      </c>
      <c r="E184" s="13" t="s">
        <v>512</v>
      </c>
      <c r="F184" s="13" t="s">
        <v>513</v>
      </c>
      <c r="G184" s="11" t="s">
        <v>39</v>
      </c>
      <c r="H184" s="11">
        <f>IFERROR(VLOOKUP(G184,Paramètres!$B$6:$F$8,2,FALSE()),"")</f>
        <v>5</v>
      </c>
      <c r="I184" s="13" t="s">
        <v>190</v>
      </c>
      <c r="J184" s="11" t="s">
        <v>48</v>
      </c>
      <c r="K184" s="12">
        <v>46092</v>
      </c>
      <c r="L184" s="12">
        <v>46092</v>
      </c>
      <c r="M184" s="13" t="s">
        <v>56</v>
      </c>
      <c r="N184" s="14" t="s">
        <v>121</v>
      </c>
      <c r="O184" s="12">
        <v>46094</v>
      </c>
      <c r="P184" s="11">
        <f t="shared" si="12"/>
        <v>3</v>
      </c>
      <c r="Q184" s="11" t="str">
        <f t="shared" ca="1" si="13"/>
        <v>-</v>
      </c>
      <c r="R184" s="11">
        <f>IFERROR(VLOOKUP(G184,Paramètres!$B$6:$F$8,3,FALSE()),"")</f>
        <v>2</v>
      </c>
      <c r="S184" s="11" t="str">
        <f t="shared" ca="1" si="14"/>
        <v>-</v>
      </c>
      <c r="T184" s="12">
        <v>46101</v>
      </c>
      <c r="U184" s="11">
        <f t="shared" si="15"/>
        <v>7</v>
      </c>
      <c r="V184" s="11">
        <f t="shared" si="16"/>
        <v>3</v>
      </c>
      <c r="W184" s="11" t="str">
        <f t="shared" si="17"/>
        <v>Hors délais</v>
      </c>
    </row>
    <row r="185" spans="1:23">
      <c r="A185" s="11">
        <v>169</v>
      </c>
      <c r="B185" s="12">
        <v>46091</v>
      </c>
      <c r="C185" s="13" t="s">
        <v>514</v>
      </c>
      <c r="D185" s="13" t="s">
        <v>118</v>
      </c>
      <c r="E185" s="13" t="s">
        <v>515</v>
      </c>
      <c r="F185" s="13" t="s">
        <v>516</v>
      </c>
      <c r="G185" s="11" t="s">
        <v>53</v>
      </c>
      <c r="H185" s="11" t="str">
        <f>IFERROR(VLOOKUP(G185,Paramètres!$B$6:$F$8,2,FALSE()),"")</f>
        <v>N/A</v>
      </c>
      <c r="I185" s="13" t="s">
        <v>168</v>
      </c>
      <c r="J185" s="11" t="s">
        <v>48</v>
      </c>
      <c r="K185" s="12">
        <v>46091</v>
      </c>
      <c r="L185" s="12">
        <v>46091</v>
      </c>
      <c r="M185" s="13" t="s">
        <v>56</v>
      </c>
      <c r="N185" s="14" t="s">
        <v>121</v>
      </c>
      <c r="O185" s="12"/>
      <c r="P185" s="11" t="str">
        <f t="shared" si="12"/>
        <v>-</v>
      </c>
      <c r="Q185" s="11" t="str">
        <f t="shared" ca="1" si="13"/>
        <v>-</v>
      </c>
      <c r="R185" s="11" t="str">
        <f>IFERROR(VLOOKUP(G185,Paramètres!$B$6:$F$8,3,FALSE()),"")</f>
        <v>N/A</v>
      </c>
      <c r="S185" s="11" t="str">
        <f t="shared" ca="1" si="14"/>
        <v>-</v>
      </c>
      <c r="T185" s="12"/>
      <c r="U185" s="11" t="str">
        <f t="shared" si="15"/>
        <v>-</v>
      </c>
      <c r="V185" s="11" t="str">
        <f t="shared" si="16"/>
        <v>-</v>
      </c>
      <c r="W185" s="11" t="str">
        <f t="shared" si="17"/>
        <v>Ne nécessite pas de réponse</v>
      </c>
    </row>
    <row r="186" spans="1:23" ht="28.5">
      <c r="A186" s="11">
        <v>170</v>
      </c>
      <c r="B186" s="12">
        <v>46091</v>
      </c>
      <c r="C186" s="13" t="s">
        <v>517</v>
      </c>
      <c r="D186" s="13" t="s">
        <v>63</v>
      </c>
      <c r="E186" s="13" t="s">
        <v>518</v>
      </c>
      <c r="F186" s="13" t="s">
        <v>519</v>
      </c>
      <c r="G186" s="11" t="s">
        <v>39</v>
      </c>
      <c r="H186" s="11">
        <f>IFERROR(VLOOKUP(G186,Paramètres!$B$6:$F$8,2,FALSE()),"")</f>
        <v>5</v>
      </c>
      <c r="I186" s="13" t="s">
        <v>130</v>
      </c>
      <c r="J186" s="11" t="s">
        <v>48</v>
      </c>
      <c r="K186" s="12">
        <v>46091</v>
      </c>
      <c r="L186" s="12">
        <v>46091</v>
      </c>
      <c r="M186" s="13" t="s">
        <v>75</v>
      </c>
      <c r="N186" s="14" t="s">
        <v>121</v>
      </c>
      <c r="O186" s="12">
        <v>46098</v>
      </c>
      <c r="P186" s="11">
        <f t="shared" si="12"/>
        <v>7</v>
      </c>
      <c r="Q186" s="11" t="str">
        <f t="shared" ca="1" si="13"/>
        <v>-</v>
      </c>
      <c r="R186" s="11">
        <f>IFERROR(VLOOKUP(G186,Paramètres!$B$6:$F$8,3,FALSE()),"")</f>
        <v>2</v>
      </c>
      <c r="S186" s="11" t="str">
        <f t="shared" ca="1" si="14"/>
        <v>-</v>
      </c>
      <c r="T186" s="12">
        <v>46100</v>
      </c>
      <c r="U186" s="11">
        <f t="shared" si="15"/>
        <v>2</v>
      </c>
      <c r="V186" s="11">
        <f t="shared" si="16"/>
        <v>2</v>
      </c>
      <c r="W186" s="11" t="str">
        <f t="shared" si="17"/>
        <v>Hors délais</v>
      </c>
    </row>
    <row r="187" spans="1:23">
      <c r="A187" s="11">
        <v>171</v>
      </c>
      <c r="B187" s="12">
        <v>46091</v>
      </c>
      <c r="C187" s="13" t="s">
        <v>520</v>
      </c>
      <c r="D187" s="13" t="s">
        <v>145</v>
      </c>
      <c r="E187" s="13" t="s">
        <v>521</v>
      </c>
      <c r="F187" s="13" t="s">
        <v>522</v>
      </c>
      <c r="G187" s="11" t="s">
        <v>39</v>
      </c>
      <c r="H187" s="11">
        <f>IFERROR(VLOOKUP(G187,Paramètres!$B$6:$F$8,2,FALSE()),"")</f>
        <v>5</v>
      </c>
      <c r="I187" s="13" t="s">
        <v>426</v>
      </c>
      <c r="J187" s="11" t="s">
        <v>41</v>
      </c>
      <c r="K187" s="12">
        <v>46091</v>
      </c>
      <c r="L187" s="12">
        <v>46091</v>
      </c>
      <c r="M187" s="13" t="s">
        <v>61</v>
      </c>
      <c r="N187" s="14" t="s">
        <v>87</v>
      </c>
      <c r="O187" s="12">
        <v>46098</v>
      </c>
      <c r="P187" s="11">
        <f t="shared" si="12"/>
        <v>7</v>
      </c>
      <c r="Q187" s="11" t="str">
        <f t="shared" ca="1" si="13"/>
        <v>-</v>
      </c>
      <c r="R187" s="11">
        <f>IFERROR(VLOOKUP(G187,Paramètres!$B$6:$F$8,3,FALSE()),"")</f>
        <v>2</v>
      </c>
      <c r="S187" s="11" t="str">
        <f t="shared" ca="1" si="14"/>
        <v>-</v>
      </c>
      <c r="T187" s="12">
        <v>46105</v>
      </c>
      <c r="U187" s="11">
        <f t="shared" si="15"/>
        <v>7</v>
      </c>
      <c r="V187" s="11">
        <f t="shared" si="16"/>
        <v>7</v>
      </c>
      <c r="W187" s="11" t="str">
        <f t="shared" si="17"/>
        <v>Hors délais</v>
      </c>
    </row>
    <row r="188" spans="1:23">
      <c r="A188" s="11">
        <v>172</v>
      </c>
      <c r="B188" s="12">
        <v>46092</v>
      </c>
      <c r="C188" s="13" t="s">
        <v>523</v>
      </c>
      <c r="D188" s="13" t="s">
        <v>63</v>
      </c>
      <c r="E188" s="13" t="s">
        <v>524</v>
      </c>
      <c r="F188" s="13" t="s">
        <v>525</v>
      </c>
      <c r="G188" s="11" t="s">
        <v>39</v>
      </c>
      <c r="H188" s="11">
        <f>IFERROR(VLOOKUP(G188,Paramètres!$B$6:$F$8,2,FALSE()),"")</f>
        <v>5</v>
      </c>
      <c r="I188" s="13" t="s">
        <v>47</v>
      </c>
      <c r="J188" s="11" t="s">
        <v>48</v>
      </c>
      <c r="K188" s="12">
        <v>46093</v>
      </c>
      <c r="L188" s="12">
        <v>46093</v>
      </c>
      <c r="M188" s="13" t="s">
        <v>49</v>
      </c>
      <c r="N188" s="14" t="s">
        <v>50</v>
      </c>
      <c r="O188" s="12">
        <v>46099</v>
      </c>
      <c r="P188" s="11">
        <f t="shared" si="12"/>
        <v>7</v>
      </c>
      <c r="Q188" s="11" t="str">
        <f t="shared" ca="1" si="13"/>
        <v>-</v>
      </c>
      <c r="R188" s="11">
        <f>IFERROR(VLOOKUP(G188,Paramètres!$B$6:$F$8,3,FALSE()),"")</f>
        <v>2</v>
      </c>
      <c r="S188" s="11" t="str">
        <f t="shared" ca="1" si="14"/>
        <v>-</v>
      </c>
      <c r="T188" s="12">
        <v>46100</v>
      </c>
      <c r="U188" s="11">
        <f t="shared" si="15"/>
        <v>1</v>
      </c>
      <c r="V188" s="11">
        <f t="shared" si="16"/>
        <v>1</v>
      </c>
      <c r="W188" s="11" t="str">
        <f t="shared" si="17"/>
        <v>Hors délais</v>
      </c>
    </row>
    <row r="189" spans="1:23">
      <c r="A189" s="11">
        <v>173</v>
      </c>
      <c r="B189" s="12">
        <v>46092</v>
      </c>
      <c r="C189" s="13" t="s">
        <v>526</v>
      </c>
      <c r="D189" s="13" t="s">
        <v>115</v>
      </c>
      <c r="E189" s="13"/>
      <c r="F189" s="13" t="s">
        <v>527</v>
      </c>
      <c r="G189" s="11" t="s">
        <v>53</v>
      </c>
      <c r="H189" s="11" t="str">
        <f>IFERROR(VLOOKUP(G189,Paramètres!$B$6:$F$8,2,FALSE()),"")</f>
        <v>N/A</v>
      </c>
      <c r="I189" s="13" t="s">
        <v>426</v>
      </c>
      <c r="J189" s="11" t="s">
        <v>41</v>
      </c>
      <c r="K189" s="12">
        <v>46093</v>
      </c>
      <c r="L189" s="12">
        <v>46093</v>
      </c>
      <c r="M189" s="13" t="s">
        <v>56</v>
      </c>
      <c r="N189" s="14" t="s">
        <v>76</v>
      </c>
      <c r="O189" s="12"/>
      <c r="P189" s="11" t="str">
        <f t="shared" si="12"/>
        <v>-</v>
      </c>
      <c r="Q189" s="11" t="str">
        <f t="shared" ca="1" si="13"/>
        <v>-</v>
      </c>
      <c r="R189" s="11" t="str">
        <f>IFERROR(VLOOKUP(G189,Paramètres!$B$6:$F$8,3,FALSE()),"")</f>
        <v>N/A</v>
      </c>
      <c r="S189" s="11" t="str">
        <f t="shared" ca="1" si="14"/>
        <v>-</v>
      </c>
      <c r="T189" s="12"/>
      <c r="U189" s="11" t="str">
        <f t="shared" si="15"/>
        <v>-</v>
      </c>
      <c r="V189" s="11" t="str">
        <f t="shared" si="16"/>
        <v>-</v>
      </c>
      <c r="W189" s="11" t="str">
        <f t="shared" si="17"/>
        <v>Ne nécessite pas de réponse</v>
      </c>
    </row>
    <row r="190" spans="1:23">
      <c r="A190" s="11">
        <v>174</v>
      </c>
      <c r="B190" s="12">
        <v>46093</v>
      </c>
      <c r="C190" s="13" t="s">
        <v>528</v>
      </c>
      <c r="D190" s="13" t="s">
        <v>96</v>
      </c>
      <c r="E190" s="13" t="s">
        <v>529</v>
      </c>
      <c r="F190" s="13" t="s">
        <v>530</v>
      </c>
      <c r="G190" s="11" t="s">
        <v>53</v>
      </c>
      <c r="H190" s="11" t="str">
        <f>IFERROR(VLOOKUP(G190,Paramètres!$B$6:$F$8,2,FALSE()),"")</f>
        <v>N/A</v>
      </c>
      <c r="I190" s="13" t="s">
        <v>108</v>
      </c>
      <c r="J190" s="11" t="s">
        <v>55</v>
      </c>
      <c r="K190" s="12">
        <v>46093</v>
      </c>
      <c r="L190" s="12">
        <v>46093</v>
      </c>
      <c r="M190" s="13" t="s">
        <v>86</v>
      </c>
      <c r="N190" s="14" t="s">
        <v>66</v>
      </c>
      <c r="O190" s="12"/>
      <c r="P190" s="11" t="str">
        <f t="shared" si="12"/>
        <v>-</v>
      </c>
      <c r="Q190" s="11" t="str">
        <f t="shared" ca="1" si="13"/>
        <v>-</v>
      </c>
      <c r="R190" s="11" t="str">
        <f>IFERROR(VLOOKUP(G190,Paramètres!$B$6:$F$8,3,FALSE()),"")</f>
        <v>N/A</v>
      </c>
      <c r="S190" s="11" t="str">
        <f t="shared" ca="1" si="14"/>
        <v>-</v>
      </c>
      <c r="T190" s="12"/>
      <c r="U190" s="11" t="str">
        <f t="shared" si="15"/>
        <v>-</v>
      </c>
      <c r="V190" s="11" t="str">
        <f t="shared" si="16"/>
        <v>-</v>
      </c>
      <c r="W190" s="11" t="str">
        <f t="shared" si="17"/>
        <v>Ne nécessite pas de réponse</v>
      </c>
    </row>
    <row r="191" spans="1:23">
      <c r="A191" s="11">
        <v>175</v>
      </c>
      <c r="B191" s="12">
        <v>46093</v>
      </c>
      <c r="C191" s="13" t="s">
        <v>531</v>
      </c>
      <c r="D191" s="13" t="s">
        <v>81</v>
      </c>
      <c r="E191" s="13" t="s">
        <v>532</v>
      </c>
      <c r="F191" s="13" t="s">
        <v>533</v>
      </c>
      <c r="G191" s="11" t="s">
        <v>39</v>
      </c>
      <c r="H191" s="11">
        <f>IFERROR(VLOOKUP(G191,Paramètres!$B$6:$F$8,2,FALSE()),"")</f>
        <v>5</v>
      </c>
      <c r="I191" s="13" t="s">
        <v>74</v>
      </c>
      <c r="J191" s="11" t="s">
        <v>41</v>
      </c>
      <c r="K191" s="12">
        <v>46094</v>
      </c>
      <c r="L191" s="12">
        <v>46094</v>
      </c>
      <c r="M191" s="13"/>
      <c r="N191" s="14" t="s">
        <v>76</v>
      </c>
      <c r="O191" s="12">
        <v>46098</v>
      </c>
      <c r="P191" s="11">
        <f t="shared" si="12"/>
        <v>5</v>
      </c>
      <c r="Q191" s="11" t="str">
        <f t="shared" ca="1" si="13"/>
        <v>-</v>
      </c>
      <c r="R191" s="11">
        <f>IFERROR(VLOOKUP(G191,Paramètres!$B$6:$F$8,3,FALSE()),"")</f>
        <v>2</v>
      </c>
      <c r="S191" s="11" t="str">
        <f t="shared" ca="1" si="14"/>
        <v>-</v>
      </c>
      <c r="T191" s="12">
        <v>46099</v>
      </c>
      <c r="U191" s="11">
        <f t="shared" si="15"/>
        <v>1</v>
      </c>
      <c r="V191" s="11">
        <f t="shared" si="16"/>
        <v>-1</v>
      </c>
      <c r="W191" s="11" t="str">
        <f t="shared" si="17"/>
        <v>Dans les délais</v>
      </c>
    </row>
    <row r="192" spans="1:23" ht="28.5">
      <c r="A192" s="11">
        <v>176</v>
      </c>
      <c r="B192" s="12">
        <v>46094</v>
      </c>
      <c r="C192" s="13" t="s">
        <v>534</v>
      </c>
      <c r="D192" s="13" t="s">
        <v>89</v>
      </c>
      <c r="E192" s="13"/>
      <c r="F192" s="13" t="s">
        <v>535</v>
      </c>
      <c r="G192" s="11" t="s">
        <v>84</v>
      </c>
      <c r="H192" s="11">
        <f>IFERROR(VLOOKUP(G192,Paramètres!$B$6:$F$8,2,FALSE()),"")</f>
        <v>5</v>
      </c>
      <c r="I192" s="13" t="s">
        <v>120</v>
      </c>
      <c r="J192" s="11" t="s">
        <v>48</v>
      </c>
      <c r="K192" s="12">
        <v>46094</v>
      </c>
      <c r="L192" s="12">
        <v>46094</v>
      </c>
      <c r="M192" s="13" t="s">
        <v>75</v>
      </c>
      <c r="N192" s="14" t="s">
        <v>50</v>
      </c>
      <c r="O192" s="12">
        <v>46105</v>
      </c>
      <c r="P192" s="11">
        <f t="shared" si="12"/>
        <v>11</v>
      </c>
      <c r="Q192" s="11" t="str">
        <f t="shared" ca="1" si="13"/>
        <v>-</v>
      </c>
      <c r="R192" s="11">
        <f>IFERROR(VLOOKUP(G192,Paramètres!$B$6:$F$8,3,FALSE()),"")</f>
        <v>2</v>
      </c>
      <c r="S192" s="11" t="str">
        <f t="shared" ca="1" si="14"/>
        <v>-</v>
      </c>
      <c r="T192" s="12">
        <v>46107</v>
      </c>
      <c r="U192" s="11">
        <f t="shared" si="15"/>
        <v>2</v>
      </c>
      <c r="V192" s="11">
        <f t="shared" si="16"/>
        <v>6</v>
      </c>
      <c r="W192" s="11" t="str">
        <f t="shared" si="17"/>
        <v>Hors délais</v>
      </c>
    </row>
    <row r="193" spans="1:23">
      <c r="A193" s="11">
        <v>177</v>
      </c>
      <c r="B193" s="12">
        <v>46094</v>
      </c>
      <c r="C193" s="13" t="s">
        <v>536</v>
      </c>
      <c r="D193" s="13" t="s">
        <v>63</v>
      </c>
      <c r="E193" s="13"/>
      <c r="F193" s="13" t="s">
        <v>537</v>
      </c>
      <c r="G193" s="11" t="s">
        <v>53</v>
      </c>
      <c r="H193" s="11" t="str">
        <f>IFERROR(VLOOKUP(G193,Paramètres!$B$6:$F$8,2,FALSE()),"")</f>
        <v>N/A</v>
      </c>
      <c r="I193" s="13" t="s">
        <v>74</v>
      </c>
      <c r="J193" s="11" t="s">
        <v>41</v>
      </c>
      <c r="K193" s="12">
        <v>46094</v>
      </c>
      <c r="L193" s="12">
        <v>46094</v>
      </c>
      <c r="M193" s="13" t="s">
        <v>61</v>
      </c>
      <c r="N193" s="14" t="s">
        <v>87</v>
      </c>
      <c r="O193" s="12"/>
      <c r="P193" s="11" t="str">
        <f t="shared" si="12"/>
        <v>-</v>
      </c>
      <c r="Q193" s="11" t="str">
        <f t="shared" ca="1" si="13"/>
        <v>-</v>
      </c>
      <c r="R193" s="11" t="str">
        <f>IFERROR(VLOOKUP(G193,Paramètres!$B$6:$F$8,3,FALSE()),"")</f>
        <v>N/A</v>
      </c>
      <c r="S193" s="11" t="str">
        <f t="shared" ca="1" si="14"/>
        <v>-</v>
      </c>
      <c r="T193" s="12"/>
      <c r="U193" s="11" t="str">
        <f t="shared" si="15"/>
        <v>-</v>
      </c>
      <c r="V193" s="11" t="str">
        <f t="shared" si="16"/>
        <v>-</v>
      </c>
      <c r="W193" s="11" t="str">
        <f t="shared" si="17"/>
        <v>Ne nécessite pas de réponse</v>
      </c>
    </row>
    <row r="194" spans="1:23">
      <c r="A194" s="11">
        <v>178</v>
      </c>
      <c r="B194" s="12">
        <v>46094</v>
      </c>
      <c r="C194" s="13" t="s">
        <v>538</v>
      </c>
      <c r="D194" s="13" t="s">
        <v>178</v>
      </c>
      <c r="E194" s="13"/>
      <c r="F194" s="13" t="s">
        <v>539</v>
      </c>
      <c r="G194" s="11" t="s">
        <v>39</v>
      </c>
      <c r="H194" s="11">
        <f>IFERROR(VLOOKUP(G194,Paramètres!$B$6:$F$8,2,FALSE()),"")</f>
        <v>5</v>
      </c>
      <c r="I194" s="13" t="s">
        <v>240</v>
      </c>
      <c r="J194" s="11" t="s">
        <v>55</v>
      </c>
      <c r="K194" s="12">
        <v>46094</v>
      </c>
      <c r="L194" s="12">
        <v>46097</v>
      </c>
      <c r="M194" s="13" t="s">
        <v>42</v>
      </c>
      <c r="N194" s="14" t="s">
        <v>66</v>
      </c>
      <c r="O194" s="12">
        <v>46107</v>
      </c>
      <c r="P194" s="11">
        <f t="shared" si="12"/>
        <v>13</v>
      </c>
      <c r="Q194" s="11" t="str">
        <f t="shared" ca="1" si="13"/>
        <v>-</v>
      </c>
      <c r="R194" s="11">
        <f>IFERROR(VLOOKUP(G194,Paramètres!$B$6:$F$8,3,FALSE()),"")</f>
        <v>2</v>
      </c>
      <c r="S194" s="11" t="str">
        <f t="shared" ca="1" si="14"/>
        <v>-</v>
      </c>
      <c r="T194" s="12">
        <v>46111</v>
      </c>
      <c r="U194" s="11">
        <f t="shared" si="15"/>
        <v>4</v>
      </c>
      <c r="V194" s="11">
        <f t="shared" si="16"/>
        <v>10</v>
      </c>
      <c r="W194" s="11" t="str">
        <f t="shared" si="17"/>
        <v>Hors délais</v>
      </c>
    </row>
    <row r="195" spans="1:23">
      <c r="A195" s="11">
        <v>179</v>
      </c>
      <c r="B195" s="12">
        <v>46094</v>
      </c>
      <c r="C195" s="13" t="s">
        <v>540</v>
      </c>
      <c r="D195" s="13" t="s">
        <v>59</v>
      </c>
      <c r="E195" s="13" t="s">
        <v>541</v>
      </c>
      <c r="F195" s="13" t="s">
        <v>542</v>
      </c>
      <c r="G195" s="11" t="s">
        <v>53</v>
      </c>
      <c r="H195" s="11" t="str">
        <f>IFERROR(VLOOKUP(G195,Paramètres!$B$6:$F$8,2,FALSE()),"")</f>
        <v>N/A</v>
      </c>
      <c r="I195" s="13" t="s">
        <v>185</v>
      </c>
      <c r="J195" s="11" t="s">
        <v>48</v>
      </c>
      <c r="K195" s="12">
        <v>46097</v>
      </c>
      <c r="L195" s="12">
        <v>46098</v>
      </c>
      <c r="M195" s="13" t="s">
        <v>61</v>
      </c>
      <c r="N195" s="14" t="s">
        <v>121</v>
      </c>
      <c r="O195" s="12"/>
      <c r="P195" s="11" t="str">
        <f t="shared" si="12"/>
        <v>-</v>
      </c>
      <c r="Q195" s="11" t="str">
        <f t="shared" ca="1" si="13"/>
        <v>-</v>
      </c>
      <c r="R195" s="11" t="str">
        <f>IFERROR(VLOOKUP(G195,Paramètres!$B$6:$F$8,3,FALSE()),"")</f>
        <v>N/A</v>
      </c>
      <c r="S195" s="11" t="str">
        <f t="shared" ca="1" si="14"/>
        <v>-</v>
      </c>
      <c r="T195" s="12"/>
      <c r="U195" s="11" t="str">
        <f t="shared" si="15"/>
        <v>-</v>
      </c>
      <c r="V195" s="11" t="str">
        <f t="shared" si="16"/>
        <v>-</v>
      </c>
      <c r="W195" s="11" t="str">
        <f t="shared" si="17"/>
        <v>Ne nécessite pas de réponse</v>
      </c>
    </row>
    <row r="196" spans="1:23">
      <c r="A196" s="11">
        <v>180</v>
      </c>
      <c r="B196" s="12">
        <v>46097</v>
      </c>
      <c r="C196" s="13" t="s">
        <v>543</v>
      </c>
      <c r="D196" s="13" t="s">
        <v>175</v>
      </c>
      <c r="E196" s="13" t="s">
        <v>544</v>
      </c>
      <c r="F196" s="13" t="s">
        <v>545</v>
      </c>
      <c r="G196" s="11" t="s">
        <v>39</v>
      </c>
      <c r="H196" s="11">
        <f>IFERROR(VLOOKUP(G196,Paramètres!$B$6:$F$8,2,FALSE()),"")</f>
        <v>5</v>
      </c>
      <c r="I196" s="13" t="s">
        <v>168</v>
      </c>
      <c r="J196" s="11" t="s">
        <v>48</v>
      </c>
      <c r="K196" s="12">
        <v>46097</v>
      </c>
      <c r="L196" s="12">
        <v>46097</v>
      </c>
      <c r="M196" s="13"/>
      <c r="N196" s="14" t="s">
        <v>121</v>
      </c>
      <c r="O196" s="12">
        <v>46100</v>
      </c>
      <c r="P196" s="11">
        <f t="shared" si="12"/>
        <v>3</v>
      </c>
      <c r="Q196" s="11" t="str">
        <f t="shared" ca="1" si="13"/>
        <v>-</v>
      </c>
      <c r="R196" s="11">
        <f>IFERROR(VLOOKUP(G196,Paramètres!$B$6:$F$8,3,FALSE()),"")</f>
        <v>2</v>
      </c>
      <c r="S196" s="11" t="str">
        <f t="shared" ca="1" si="14"/>
        <v>-</v>
      </c>
      <c r="T196" s="12">
        <v>46104</v>
      </c>
      <c r="U196" s="11">
        <f t="shared" si="15"/>
        <v>4</v>
      </c>
      <c r="V196" s="11">
        <f t="shared" si="16"/>
        <v>0</v>
      </c>
      <c r="W196" s="11" t="str">
        <f t="shared" si="17"/>
        <v>Dans les délais</v>
      </c>
    </row>
    <row r="197" spans="1:23">
      <c r="A197" s="11">
        <v>181</v>
      </c>
      <c r="B197" s="12">
        <v>46097</v>
      </c>
      <c r="C197" s="13" t="s">
        <v>546</v>
      </c>
      <c r="D197" s="13" t="s">
        <v>100</v>
      </c>
      <c r="E197" s="13"/>
      <c r="F197" s="13" t="s">
        <v>547</v>
      </c>
      <c r="G197" s="11" t="s">
        <v>39</v>
      </c>
      <c r="H197" s="11">
        <f>IFERROR(VLOOKUP(G197,Paramètres!$B$6:$F$8,2,FALSE()),"")</f>
        <v>5</v>
      </c>
      <c r="I197" s="13" t="s">
        <v>94</v>
      </c>
      <c r="J197" s="11" t="s">
        <v>55</v>
      </c>
      <c r="K197" s="12">
        <v>46097</v>
      </c>
      <c r="L197" s="12">
        <v>46097</v>
      </c>
      <c r="M197" s="13" t="s">
        <v>61</v>
      </c>
      <c r="N197" s="14" t="s">
        <v>66</v>
      </c>
      <c r="O197" s="12">
        <v>46113</v>
      </c>
      <c r="P197" s="11">
        <f t="shared" si="12"/>
        <v>16</v>
      </c>
      <c r="Q197" s="11" t="str">
        <f t="shared" ca="1" si="13"/>
        <v>-</v>
      </c>
      <c r="R197" s="11">
        <f>IFERROR(VLOOKUP(G197,Paramètres!$B$6:$F$8,3,FALSE()),"")</f>
        <v>2</v>
      </c>
      <c r="S197" s="11" t="str">
        <f t="shared" ca="1" si="14"/>
        <v>-</v>
      </c>
      <c r="T197" s="12">
        <v>46113</v>
      </c>
      <c r="U197" s="11">
        <f t="shared" si="15"/>
        <v>0</v>
      </c>
      <c r="V197" s="11">
        <f t="shared" si="16"/>
        <v>9</v>
      </c>
      <c r="W197" s="11" t="str">
        <f t="shared" si="17"/>
        <v>Hors délais</v>
      </c>
    </row>
    <row r="198" spans="1:23">
      <c r="A198" s="11">
        <v>182</v>
      </c>
      <c r="B198" s="12">
        <v>46097</v>
      </c>
      <c r="C198" s="13" t="s">
        <v>548</v>
      </c>
      <c r="D198" s="13" t="s">
        <v>178</v>
      </c>
      <c r="E198" s="13"/>
      <c r="F198" s="13" t="s">
        <v>549</v>
      </c>
      <c r="G198" s="11" t="s">
        <v>53</v>
      </c>
      <c r="H198" s="11" t="str">
        <f>IFERROR(VLOOKUP(G198,Paramètres!$B$6:$F$8,2,FALSE()),"")</f>
        <v>N/A</v>
      </c>
      <c r="I198" s="13" t="s">
        <v>40</v>
      </c>
      <c r="J198" s="11" t="s">
        <v>41</v>
      </c>
      <c r="K198" s="12">
        <v>46097</v>
      </c>
      <c r="L198" s="12">
        <v>46097</v>
      </c>
      <c r="M198" s="13" t="s">
        <v>56</v>
      </c>
      <c r="N198" s="14" t="s">
        <v>87</v>
      </c>
      <c r="O198" s="12"/>
      <c r="P198" s="11" t="str">
        <f t="shared" si="12"/>
        <v>-</v>
      </c>
      <c r="Q198" s="11" t="str">
        <f t="shared" ca="1" si="13"/>
        <v>-</v>
      </c>
      <c r="R198" s="11" t="str">
        <f>IFERROR(VLOOKUP(G198,Paramètres!$B$6:$F$8,3,FALSE()),"")</f>
        <v>N/A</v>
      </c>
      <c r="S198" s="11" t="str">
        <f t="shared" ca="1" si="14"/>
        <v>-</v>
      </c>
      <c r="T198" s="12"/>
      <c r="U198" s="11" t="str">
        <f t="shared" si="15"/>
        <v>-</v>
      </c>
      <c r="V198" s="11" t="str">
        <f t="shared" si="16"/>
        <v>-</v>
      </c>
      <c r="W198" s="11" t="str">
        <f t="shared" si="17"/>
        <v>Ne nécessite pas de réponse</v>
      </c>
    </row>
    <row r="199" spans="1:23">
      <c r="A199" s="11">
        <v>183</v>
      </c>
      <c r="B199" s="12">
        <v>46098</v>
      </c>
      <c r="C199" s="13" t="s">
        <v>550</v>
      </c>
      <c r="D199" s="13" t="s">
        <v>115</v>
      </c>
      <c r="E199" s="13"/>
      <c r="F199" s="13" t="s">
        <v>551</v>
      </c>
      <c r="G199" s="11" t="s">
        <v>53</v>
      </c>
      <c r="H199" s="11" t="str">
        <f>IFERROR(VLOOKUP(G199,Paramètres!$B$6:$F$8,2,FALSE()),"")</f>
        <v>N/A</v>
      </c>
      <c r="I199" s="13" t="s">
        <v>232</v>
      </c>
      <c r="J199" s="11" t="s">
        <v>55</v>
      </c>
      <c r="K199" s="12">
        <v>46098</v>
      </c>
      <c r="L199" s="12">
        <v>46098</v>
      </c>
      <c r="M199" s="13" t="s">
        <v>42</v>
      </c>
      <c r="N199" s="14" t="s">
        <v>66</v>
      </c>
      <c r="O199" s="12"/>
      <c r="P199" s="11" t="str">
        <f t="shared" si="12"/>
        <v>-</v>
      </c>
      <c r="Q199" s="11" t="str">
        <f t="shared" ca="1" si="13"/>
        <v>-</v>
      </c>
      <c r="R199" s="11" t="str">
        <f>IFERROR(VLOOKUP(G199,Paramètres!$B$6:$F$8,3,FALSE()),"")</f>
        <v>N/A</v>
      </c>
      <c r="S199" s="11" t="str">
        <f t="shared" ca="1" si="14"/>
        <v>-</v>
      </c>
      <c r="T199" s="12"/>
      <c r="U199" s="11" t="str">
        <f t="shared" si="15"/>
        <v>-</v>
      </c>
      <c r="V199" s="11" t="str">
        <f t="shared" si="16"/>
        <v>-</v>
      </c>
      <c r="W199" s="11" t="str">
        <f t="shared" si="17"/>
        <v>Ne nécessite pas de réponse</v>
      </c>
    </row>
    <row r="200" spans="1:23">
      <c r="A200" s="11">
        <v>184</v>
      </c>
      <c r="B200" s="12">
        <v>46098</v>
      </c>
      <c r="C200" s="13" t="s">
        <v>552</v>
      </c>
      <c r="D200" s="13" t="s">
        <v>63</v>
      </c>
      <c r="E200" s="13"/>
      <c r="F200" s="13" t="s">
        <v>553</v>
      </c>
      <c r="G200" s="11" t="s">
        <v>39</v>
      </c>
      <c r="H200" s="11">
        <f>IFERROR(VLOOKUP(G200,Paramètres!$B$6:$F$8,2,FALSE()),"")</f>
        <v>5</v>
      </c>
      <c r="I200" s="13" t="s">
        <v>190</v>
      </c>
      <c r="J200" s="11" t="s">
        <v>48</v>
      </c>
      <c r="K200" s="12">
        <v>46098</v>
      </c>
      <c r="L200" s="12">
        <v>46099</v>
      </c>
      <c r="M200" s="13" t="s">
        <v>42</v>
      </c>
      <c r="N200" s="14" t="s">
        <v>121</v>
      </c>
      <c r="O200" s="12">
        <v>46105</v>
      </c>
      <c r="P200" s="11">
        <f t="shared" si="12"/>
        <v>7</v>
      </c>
      <c r="Q200" s="11" t="str">
        <f t="shared" ca="1" si="13"/>
        <v>-</v>
      </c>
      <c r="R200" s="11">
        <f>IFERROR(VLOOKUP(G200,Paramètres!$B$6:$F$8,3,FALSE()),"")</f>
        <v>2</v>
      </c>
      <c r="S200" s="11" t="str">
        <f t="shared" ca="1" si="14"/>
        <v>-</v>
      </c>
      <c r="T200" s="12">
        <v>46105</v>
      </c>
      <c r="U200" s="11">
        <f t="shared" si="15"/>
        <v>0</v>
      </c>
      <c r="V200" s="11">
        <f t="shared" si="16"/>
        <v>0</v>
      </c>
      <c r="W200" s="11" t="str">
        <f t="shared" si="17"/>
        <v>Dans les délais</v>
      </c>
    </row>
    <row r="201" spans="1:23">
      <c r="A201" s="11">
        <v>185</v>
      </c>
      <c r="B201" s="12">
        <v>46099</v>
      </c>
      <c r="C201" s="13" t="s">
        <v>554</v>
      </c>
      <c r="D201" s="13" t="s">
        <v>81</v>
      </c>
      <c r="E201" s="13" t="s">
        <v>555</v>
      </c>
      <c r="F201" s="13" t="s">
        <v>556</v>
      </c>
      <c r="G201" s="11" t="s">
        <v>53</v>
      </c>
      <c r="H201" s="11" t="str">
        <f>IFERROR(VLOOKUP(G201,Paramètres!$B$6:$F$8,2,FALSE()),"")</f>
        <v>N/A</v>
      </c>
      <c r="I201" s="13" t="s">
        <v>108</v>
      </c>
      <c r="J201" s="11" t="s">
        <v>55</v>
      </c>
      <c r="K201" s="12">
        <v>46099</v>
      </c>
      <c r="L201" s="12">
        <v>46099</v>
      </c>
      <c r="M201" s="13" t="s">
        <v>86</v>
      </c>
      <c r="N201" s="14" t="s">
        <v>102</v>
      </c>
      <c r="O201" s="12"/>
      <c r="P201" s="11" t="str">
        <f t="shared" si="12"/>
        <v>-</v>
      </c>
      <c r="Q201" s="11" t="str">
        <f t="shared" ca="1" si="13"/>
        <v>-</v>
      </c>
      <c r="R201" s="11" t="str">
        <f>IFERROR(VLOOKUP(G201,Paramètres!$B$6:$F$8,3,FALSE()),"")</f>
        <v>N/A</v>
      </c>
      <c r="S201" s="11" t="str">
        <f t="shared" ca="1" si="14"/>
        <v>-</v>
      </c>
      <c r="T201" s="12"/>
      <c r="U201" s="11" t="str">
        <f t="shared" si="15"/>
        <v>-</v>
      </c>
      <c r="V201" s="11" t="str">
        <f t="shared" si="16"/>
        <v>-</v>
      </c>
      <c r="W201" s="11" t="str">
        <f t="shared" si="17"/>
        <v>Ne nécessite pas de réponse</v>
      </c>
    </row>
    <row r="202" spans="1:23">
      <c r="A202" s="11">
        <v>186</v>
      </c>
      <c r="B202" s="12">
        <v>46099</v>
      </c>
      <c r="C202" s="13" t="s">
        <v>557</v>
      </c>
      <c r="D202" s="13" t="s">
        <v>118</v>
      </c>
      <c r="E202" s="13" t="s">
        <v>558</v>
      </c>
      <c r="F202" s="13" t="s">
        <v>559</v>
      </c>
      <c r="G202" s="11" t="s">
        <v>39</v>
      </c>
      <c r="H202" s="11">
        <f>IFERROR(VLOOKUP(G202,Paramètres!$B$6:$F$8,2,FALSE()),"")</f>
        <v>5</v>
      </c>
      <c r="I202" s="13" t="s">
        <v>232</v>
      </c>
      <c r="J202" s="11" t="s">
        <v>55</v>
      </c>
      <c r="K202" s="12">
        <v>46099</v>
      </c>
      <c r="L202" s="12">
        <v>46100</v>
      </c>
      <c r="M202" s="13" t="s">
        <v>49</v>
      </c>
      <c r="N202" s="14" t="s">
        <v>102</v>
      </c>
      <c r="O202" s="12">
        <v>46107</v>
      </c>
      <c r="P202" s="11">
        <f t="shared" si="12"/>
        <v>8</v>
      </c>
      <c r="Q202" s="11" t="str">
        <f t="shared" ca="1" si="13"/>
        <v>-</v>
      </c>
      <c r="R202" s="11">
        <f>IFERROR(VLOOKUP(G202,Paramètres!$B$6:$F$8,3,FALSE()),"")</f>
        <v>2</v>
      </c>
      <c r="S202" s="11" t="str">
        <f t="shared" ca="1" si="14"/>
        <v>-</v>
      </c>
      <c r="T202" s="12">
        <v>46112</v>
      </c>
      <c r="U202" s="11">
        <f t="shared" si="15"/>
        <v>5</v>
      </c>
      <c r="V202" s="11">
        <f t="shared" si="16"/>
        <v>6</v>
      </c>
      <c r="W202" s="11" t="str">
        <f t="shared" si="17"/>
        <v>Hors délais</v>
      </c>
    </row>
    <row r="203" spans="1:23">
      <c r="A203" s="11">
        <v>187</v>
      </c>
      <c r="B203" s="12">
        <v>46100</v>
      </c>
      <c r="C203" s="13" t="s">
        <v>560</v>
      </c>
      <c r="D203" s="13" t="s">
        <v>96</v>
      </c>
      <c r="E203" s="13" t="s">
        <v>561</v>
      </c>
      <c r="F203" s="13" t="s">
        <v>562</v>
      </c>
      <c r="G203" s="11" t="s">
        <v>39</v>
      </c>
      <c r="H203" s="11">
        <f>IFERROR(VLOOKUP(G203,Paramètres!$B$6:$F$8,2,FALSE()),"")</f>
        <v>5</v>
      </c>
      <c r="I203" s="13" t="s">
        <v>65</v>
      </c>
      <c r="J203" s="11" t="s">
        <v>55</v>
      </c>
      <c r="K203" s="12">
        <v>46101</v>
      </c>
      <c r="L203" s="12">
        <v>46101</v>
      </c>
      <c r="M203" s="13" t="s">
        <v>56</v>
      </c>
      <c r="N203" s="14" t="s">
        <v>66</v>
      </c>
      <c r="O203" s="12">
        <v>46105</v>
      </c>
      <c r="P203" s="11">
        <f t="shared" si="12"/>
        <v>5</v>
      </c>
      <c r="Q203" s="11" t="str">
        <f t="shared" ca="1" si="13"/>
        <v>-</v>
      </c>
      <c r="R203" s="11">
        <f>IFERROR(VLOOKUP(G203,Paramètres!$B$6:$F$8,3,FALSE()),"")</f>
        <v>2</v>
      </c>
      <c r="S203" s="11" t="str">
        <f t="shared" ca="1" si="14"/>
        <v>-</v>
      </c>
      <c r="T203" s="12">
        <v>46107</v>
      </c>
      <c r="U203" s="11">
        <f t="shared" si="15"/>
        <v>2</v>
      </c>
      <c r="V203" s="11">
        <f t="shared" si="16"/>
        <v>0</v>
      </c>
      <c r="W203" s="11" t="str">
        <f t="shared" si="17"/>
        <v>Dans les délais</v>
      </c>
    </row>
    <row r="204" spans="1:23">
      <c r="A204" s="11">
        <v>188</v>
      </c>
      <c r="B204" s="12">
        <v>46100</v>
      </c>
      <c r="C204" s="13" t="s">
        <v>563</v>
      </c>
      <c r="D204" s="13" t="s">
        <v>178</v>
      </c>
      <c r="E204" s="13" t="s">
        <v>564</v>
      </c>
      <c r="F204" s="13" t="s">
        <v>565</v>
      </c>
      <c r="G204" s="11" t="s">
        <v>39</v>
      </c>
      <c r="H204" s="11">
        <f>IFERROR(VLOOKUP(G204,Paramètres!$B$6:$F$8,2,FALSE()),"")</f>
        <v>5</v>
      </c>
      <c r="I204" s="13" t="s">
        <v>185</v>
      </c>
      <c r="J204" s="11" t="s">
        <v>48</v>
      </c>
      <c r="K204" s="12">
        <v>46101</v>
      </c>
      <c r="L204" s="12">
        <v>46104</v>
      </c>
      <c r="M204" s="13"/>
      <c r="N204" s="14" t="s">
        <v>186</v>
      </c>
      <c r="O204" s="12">
        <v>46111</v>
      </c>
      <c r="P204" s="11">
        <f t="shared" si="12"/>
        <v>11</v>
      </c>
      <c r="Q204" s="11" t="str">
        <f t="shared" ca="1" si="13"/>
        <v>-</v>
      </c>
      <c r="R204" s="11">
        <f>IFERROR(VLOOKUP(G204,Paramètres!$B$6:$F$8,3,FALSE()),"")</f>
        <v>2</v>
      </c>
      <c r="S204" s="11" t="str">
        <f t="shared" ca="1" si="14"/>
        <v>-</v>
      </c>
      <c r="T204" s="12">
        <v>46118</v>
      </c>
      <c r="U204" s="11">
        <f t="shared" si="15"/>
        <v>7</v>
      </c>
      <c r="V204" s="11">
        <f t="shared" si="16"/>
        <v>11</v>
      </c>
      <c r="W204" s="11" t="str">
        <f t="shared" si="17"/>
        <v>Hors délais</v>
      </c>
    </row>
    <row r="205" spans="1:23">
      <c r="A205" s="11">
        <v>189</v>
      </c>
      <c r="B205" s="12">
        <v>46100</v>
      </c>
      <c r="C205" s="13" t="s">
        <v>566</v>
      </c>
      <c r="D205" s="13" t="s">
        <v>118</v>
      </c>
      <c r="E205" s="13"/>
      <c r="F205" s="13" t="s">
        <v>567</v>
      </c>
      <c r="G205" s="11" t="s">
        <v>53</v>
      </c>
      <c r="H205" s="11" t="str">
        <f>IFERROR(VLOOKUP(G205,Paramètres!$B$6:$F$8,2,FALSE()),"")</f>
        <v>N/A</v>
      </c>
      <c r="I205" s="13" t="s">
        <v>190</v>
      </c>
      <c r="J205" s="11" t="s">
        <v>48</v>
      </c>
      <c r="K205" s="12">
        <v>46100</v>
      </c>
      <c r="L205" s="12">
        <v>46100</v>
      </c>
      <c r="M205" s="13" t="s">
        <v>86</v>
      </c>
      <c r="N205" s="14" t="s">
        <v>50</v>
      </c>
      <c r="O205" s="12"/>
      <c r="P205" s="11" t="str">
        <f t="shared" si="12"/>
        <v>-</v>
      </c>
      <c r="Q205" s="11" t="str">
        <f t="shared" ca="1" si="13"/>
        <v>-</v>
      </c>
      <c r="R205" s="11" t="str">
        <f>IFERROR(VLOOKUP(G205,Paramètres!$B$6:$F$8,3,FALSE()),"")</f>
        <v>N/A</v>
      </c>
      <c r="S205" s="11" t="str">
        <f t="shared" ca="1" si="14"/>
        <v>-</v>
      </c>
      <c r="T205" s="12"/>
      <c r="U205" s="11" t="str">
        <f t="shared" si="15"/>
        <v>-</v>
      </c>
      <c r="V205" s="11" t="str">
        <f t="shared" si="16"/>
        <v>-</v>
      </c>
      <c r="W205" s="11" t="str">
        <f t="shared" si="17"/>
        <v>Ne nécessite pas de réponse</v>
      </c>
    </row>
    <row r="206" spans="1:23">
      <c r="A206" s="11">
        <v>190</v>
      </c>
      <c r="B206" s="12">
        <v>46100</v>
      </c>
      <c r="C206" s="13" t="s">
        <v>568</v>
      </c>
      <c r="D206" s="13" t="s">
        <v>104</v>
      </c>
      <c r="E206" s="13" t="s">
        <v>569</v>
      </c>
      <c r="F206" s="13" t="s">
        <v>570</v>
      </c>
      <c r="G206" s="11" t="s">
        <v>39</v>
      </c>
      <c r="H206" s="11">
        <f>IFERROR(VLOOKUP(G206,Paramètres!$B$6:$F$8,2,FALSE()),"")</f>
        <v>5</v>
      </c>
      <c r="I206" s="13" t="s">
        <v>94</v>
      </c>
      <c r="J206" s="11" t="s">
        <v>55</v>
      </c>
      <c r="K206" s="12">
        <v>46100</v>
      </c>
      <c r="L206" s="12">
        <v>46101</v>
      </c>
      <c r="M206" s="13" t="s">
        <v>49</v>
      </c>
      <c r="N206" s="14" t="s">
        <v>66</v>
      </c>
      <c r="O206" s="12">
        <v>46105</v>
      </c>
      <c r="P206" s="11">
        <f t="shared" si="12"/>
        <v>5</v>
      </c>
      <c r="Q206" s="11" t="str">
        <f t="shared" ca="1" si="13"/>
        <v>-</v>
      </c>
      <c r="R206" s="11">
        <f>IFERROR(VLOOKUP(G206,Paramètres!$B$6:$F$8,3,FALSE()),"")</f>
        <v>2</v>
      </c>
      <c r="S206" s="11" t="str">
        <f t="shared" ca="1" si="14"/>
        <v>-</v>
      </c>
      <c r="T206" s="12">
        <v>46105</v>
      </c>
      <c r="U206" s="11">
        <f t="shared" si="15"/>
        <v>0</v>
      </c>
      <c r="V206" s="11">
        <f t="shared" si="16"/>
        <v>-2</v>
      </c>
      <c r="W206" s="11" t="str">
        <f t="shared" si="17"/>
        <v>Dans les délais</v>
      </c>
    </row>
    <row r="207" spans="1:23">
      <c r="A207" s="11">
        <v>191</v>
      </c>
      <c r="B207" s="12">
        <v>46100</v>
      </c>
      <c r="C207" s="13" t="s">
        <v>571</v>
      </c>
      <c r="D207" s="13" t="s">
        <v>230</v>
      </c>
      <c r="E207" s="13"/>
      <c r="F207" s="13" t="s">
        <v>572</v>
      </c>
      <c r="G207" s="11" t="s">
        <v>84</v>
      </c>
      <c r="H207" s="11">
        <f>IFERROR(VLOOKUP(G207,Paramètres!$B$6:$F$8,2,FALSE()),"")</f>
        <v>5</v>
      </c>
      <c r="I207" s="13" t="s">
        <v>155</v>
      </c>
      <c r="J207" s="11" t="s">
        <v>48</v>
      </c>
      <c r="K207" s="12">
        <v>46101</v>
      </c>
      <c r="L207" s="12">
        <v>46101</v>
      </c>
      <c r="M207" s="13" t="s">
        <v>61</v>
      </c>
      <c r="N207" s="14" t="s">
        <v>186</v>
      </c>
      <c r="O207" s="12">
        <v>46106</v>
      </c>
      <c r="P207" s="11">
        <f t="shared" si="12"/>
        <v>6</v>
      </c>
      <c r="Q207" s="11" t="str">
        <f t="shared" ca="1" si="13"/>
        <v>-</v>
      </c>
      <c r="R207" s="11">
        <f>IFERROR(VLOOKUP(G207,Paramètres!$B$6:$F$8,3,FALSE()),"")</f>
        <v>2</v>
      </c>
      <c r="S207" s="11" t="str">
        <f t="shared" ca="1" si="14"/>
        <v>-</v>
      </c>
      <c r="T207" s="12">
        <v>46108</v>
      </c>
      <c r="U207" s="11">
        <f t="shared" si="15"/>
        <v>2</v>
      </c>
      <c r="V207" s="11">
        <f t="shared" si="16"/>
        <v>1</v>
      </c>
      <c r="W207" s="11" t="str">
        <f t="shared" si="17"/>
        <v>Hors délais</v>
      </c>
    </row>
    <row r="208" spans="1:23">
      <c r="A208" s="11">
        <v>192</v>
      </c>
      <c r="B208" s="12">
        <v>46100</v>
      </c>
      <c r="C208" s="13" t="s">
        <v>573</v>
      </c>
      <c r="D208" s="13" t="s">
        <v>96</v>
      </c>
      <c r="E208" s="13" t="s">
        <v>574</v>
      </c>
      <c r="F208" s="13" t="s">
        <v>575</v>
      </c>
      <c r="G208" s="11" t="s">
        <v>53</v>
      </c>
      <c r="H208" s="11" t="str">
        <f>IFERROR(VLOOKUP(G208,Paramètres!$B$6:$F$8,2,FALSE()),"")</f>
        <v>N/A</v>
      </c>
      <c r="I208" s="13" t="s">
        <v>47</v>
      </c>
      <c r="J208" s="11" t="s">
        <v>48</v>
      </c>
      <c r="K208" s="12">
        <v>46101</v>
      </c>
      <c r="L208" s="12">
        <v>46104</v>
      </c>
      <c r="M208" s="13" t="s">
        <v>86</v>
      </c>
      <c r="N208" s="14" t="s">
        <v>121</v>
      </c>
      <c r="O208" s="12"/>
      <c r="P208" s="11" t="str">
        <f t="shared" si="12"/>
        <v>-</v>
      </c>
      <c r="Q208" s="11" t="str">
        <f t="shared" ca="1" si="13"/>
        <v>-</v>
      </c>
      <c r="R208" s="11" t="str">
        <f>IFERROR(VLOOKUP(G208,Paramètres!$B$6:$F$8,3,FALSE()),"")</f>
        <v>N/A</v>
      </c>
      <c r="S208" s="11" t="str">
        <f t="shared" ca="1" si="14"/>
        <v>-</v>
      </c>
      <c r="T208" s="12"/>
      <c r="U208" s="11" t="str">
        <f t="shared" si="15"/>
        <v>-</v>
      </c>
      <c r="V208" s="11" t="str">
        <f t="shared" si="16"/>
        <v>-</v>
      </c>
      <c r="W208" s="11" t="str">
        <f t="shared" si="17"/>
        <v>Ne nécessite pas de réponse</v>
      </c>
    </row>
    <row r="209" spans="1:23">
      <c r="A209" s="11">
        <v>193</v>
      </c>
      <c r="B209" s="12">
        <v>46101</v>
      </c>
      <c r="C209" s="13" t="s">
        <v>576</v>
      </c>
      <c r="D209" s="13" t="s">
        <v>81</v>
      </c>
      <c r="E209" s="13"/>
      <c r="F209" s="13" t="s">
        <v>577</v>
      </c>
      <c r="G209" s="11" t="s">
        <v>39</v>
      </c>
      <c r="H209" s="11">
        <f>IFERROR(VLOOKUP(G209,Paramètres!$B$6:$F$8,2,FALSE()),"")</f>
        <v>5</v>
      </c>
      <c r="I209" s="13" t="s">
        <v>155</v>
      </c>
      <c r="J209" s="11" t="s">
        <v>48</v>
      </c>
      <c r="K209" s="12">
        <v>46104</v>
      </c>
      <c r="L209" s="12">
        <v>46104</v>
      </c>
      <c r="M209" s="13" t="s">
        <v>86</v>
      </c>
      <c r="N209" s="14" t="s">
        <v>50</v>
      </c>
      <c r="O209" s="12">
        <v>46111</v>
      </c>
      <c r="P209" s="11">
        <f t="shared" ref="P209:P272" si="18">IF(G209="Ne nécessite pas de réponse","-",IF(AND(ISNUMBER(B209),ISNUMBER(O209)),O209-B209,""))</f>
        <v>10</v>
      </c>
      <c r="Q209" s="11" t="str">
        <f t="shared" ref="Q209:Q272" ca="1" si="19">IF(G209="Ne nécessite pas de réponse","-",IF(O209&lt;&gt;"","-",IF(OR(B209="",H209="",NOT(ISNUMBER(H209)),H209=0),"",IF((TODAY()-B209)/H209&lt;=0.5,"VERT",IF((TODAY()-B209)/H209&lt;=0.8,"JAUNE","ROUGE")))))</f>
        <v>-</v>
      </c>
      <c r="R209" s="11">
        <f>IFERROR(VLOOKUP(G209,Paramètres!$B$6:$F$8,3,FALSE()),"")</f>
        <v>2</v>
      </c>
      <c r="S209" s="11" t="str">
        <f t="shared" ref="S209:S272" ca="1" si="20">IF(G209="Ne nécessite pas de réponse","-",IF(O209="","",IF(T209&lt;&gt;"","-",IF(OR(R209="",NOT(ISNUMBER(R209)),R209=0),"",IF((TODAY()-O209)/R209&lt;=0.5,"VERT",IF((TODAY()-O209)/R209&lt;=0.8,"JAUNE","ROUGE"))))))</f>
        <v>-</v>
      </c>
      <c r="T209" s="12">
        <v>46112</v>
      </c>
      <c r="U209" s="11">
        <f t="shared" ref="U209:U272" si="21">IF(G209="Ne nécessite pas de réponse","-",IF(AND(ISNUMBER(O209),ISNUMBER(T209)),T209-O209,""))</f>
        <v>1</v>
      </c>
      <c r="V209" s="11">
        <f t="shared" ref="V209:V272" si="22">IF(G209="Ne nécessite pas de réponse","-",IF(AND(ISNUMBER(T209),ISNUMBER(B209),ISNUMBER(H209),ISNUMBER(R209)),T209-(B209+H209+R209),""))</f>
        <v>4</v>
      </c>
      <c r="W209" s="11" t="str">
        <f t="shared" ref="W209:W272" si="23">IF(G209="Ne nécessite pas de réponse","Ne nécessite pas de réponse",IF(T209="","",IF(V209&lt;=0,"Dans les délais","Hors délais")))</f>
        <v>Hors délais</v>
      </c>
    </row>
    <row r="210" spans="1:23">
      <c r="A210" s="11">
        <v>194</v>
      </c>
      <c r="B210" s="12">
        <v>46101</v>
      </c>
      <c r="C210" s="13" t="s">
        <v>578</v>
      </c>
      <c r="D210" s="13" t="s">
        <v>230</v>
      </c>
      <c r="E210" s="13"/>
      <c r="F210" s="13" t="s">
        <v>579</v>
      </c>
      <c r="G210" s="11" t="s">
        <v>39</v>
      </c>
      <c r="H210" s="11">
        <f>IFERROR(VLOOKUP(G210,Paramètres!$B$6:$F$8,2,FALSE()),"")</f>
        <v>5</v>
      </c>
      <c r="I210" s="13" t="s">
        <v>232</v>
      </c>
      <c r="J210" s="11" t="s">
        <v>55</v>
      </c>
      <c r="K210" s="12">
        <v>46104</v>
      </c>
      <c r="L210" s="12">
        <v>46105</v>
      </c>
      <c r="M210" s="13" t="s">
        <v>42</v>
      </c>
      <c r="N210" s="14" t="s">
        <v>66</v>
      </c>
      <c r="O210" s="12">
        <v>46106</v>
      </c>
      <c r="P210" s="11">
        <f t="shared" si="18"/>
        <v>5</v>
      </c>
      <c r="Q210" s="11" t="str">
        <f t="shared" ca="1" si="19"/>
        <v>-</v>
      </c>
      <c r="R210" s="11">
        <f>IFERROR(VLOOKUP(G210,Paramètres!$B$6:$F$8,3,FALSE()),"")</f>
        <v>2</v>
      </c>
      <c r="S210" s="11" t="str">
        <f t="shared" ca="1" si="20"/>
        <v>-</v>
      </c>
      <c r="T210" s="12">
        <v>46113</v>
      </c>
      <c r="U210" s="11">
        <f t="shared" si="21"/>
        <v>7</v>
      </c>
      <c r="V210" s="11">
        <f t="shared" si="22"/>
        <v>5</v>
      </c>
      <c r="W210" s="11" t="str">
        <f t="shared" si="23"/>
        <v>Hors délais</v>
      </c>
    </row>
    <row r="211" spans="1:23">
      <c r="A211" s="11">
        <v>195</v>
      </c>
      <c r="B211" s="12">
        <v>46101</v>
      </c>
      <c r="C211" s="13" t="s">
        <v>580</v>
      </c>
      <c r="D211" s="13" t="s">
        <v>96</v>
      </c>
      <c r="E211" s="13" t="s">
        <v>581</v>
      </c>
      <c r="F211" s="13" t="s">
        <v>582</v>
      </c>
      <c r="G211" s="11" t="s">
        <v>39</v>
      </c>
      <c r="H211" s="11">
        <f>IFERROR(VLOOKUP(G211,Paramètres!$B$6:$F$8,2,FALSE()),"")</f>
        <v>5</v>
      </c>
      <c r="I211" s="13" t="s">
        <v>94</v>
      </c>
      <c r="J211" s="11" t="s">
        <v>55</v>
      </c>
      <c r="K211" s="12">
        <v>46101</v>
      </c>
      <c r="L211" s="12">
        <v>46101</v>
      </c>
      <c r="M211" s="13"/>
      <c r="N211" s="14" t="s">
        <v>66</v>
      </c>
      <c r="O211" s="12">
        <v>46107</v>
      </c>
      <c r="P211" s="11">
        <f t="shared" si="18"/>
        <v>6</v>
      </c>
      <c r="Q211" s="11" t="str">
        <f t="shared" ca="1" si="19"/>
        <v>-</v>
      </c>
      <c r="R211" s="11">
        <f>IFERROR(VLOOKUP(G211,Paramètres!$B$6:$F$8,3,FALSE()),"")</f>
        <v>2</v>
      </c>
      <c r="S211" s="11" t="str">
        <f t="shared" ca="1" si="20"/>
        <v>-</v>
      </c>
      <c r="T211" s="12">
        <v>46108</v>
      </c>
      <c r="U211" s="11">
        <f t="shared" si="21"/>
        <v>1</v>
      </c>
      <c r="V211" s="11">
        <f t="shared" si="22"/>
        <v>0</v>
      </c>
      <c r="W211" s="11" t="str">
        <f t="shared" si="23"/>
        <v>Dans les délais</v>
      </c>
    </row>
    <row r="212" spans="1:23">
      <c r="A212" s="11">
        <v>196</v>
      </c>
      <c r="B212" s="12">
        <v>46104</v>
      </c>
      <c r="C212" s="13" t="s">
        <v>583</v>
      </c>
      <c r="D212" s="13" t="s">
        <v>89</v>
      </c>
      <c r="E212" s="13" t="s">
        <v>584</v>
      </c>
      <c r="F212" s="13" t="s">
        <v>585</v>
      </c>
      <c r="G212" s="11" t="s">
        <v>39</v>
      </c>
      <c r="H212" s="11">
        <f>IFERROR(VLOOKUP(G212,Paramètres!$B$6:$F$8,2,FALSE()),"")</f>
        <v>5</v>
      </c>
      <c r="I212" s="13" t="s">
        <v>168</v>
      </c>
      <c r="J212" s="11" t="s">
        <v>48</v>
      </c>
      <c r="K212" s="12">
        <v>46104</v>
      </c>
      <c r="L212" s="12">
        <v>46104</v>
      </c>
      <c r="M212" s="13" t="s">
        <v>56</v>
      </c>
      <c r="N212" s="14" t="s">
        <v>50</v>
      </c>
      <c r="O212" s="12">
        <v>46108</v>
      </c>
      <c r="P212" s="11">
        <f t="shared" si="18"/>
        <v>4</v>
      </c>
      <c r="Q212" s="11" t="str">
        <f t="shared" ca="1" si="19"/>
        <v>-</v>
      </c>
      <c r="R212" s="11">
        <f>IFERROR(VLOOKUP(G212,Paramètres!$B$6:$F$8,3,FALSE()),"")</f>
        <v>2</v>
      </c>
      <c r="S212" s="11" t="str">
        <f t="shared" ca="1" si="20"/>
        <v>-</v>
      </c>
      <c r="T212" s="12">
        <v>46112</v>
      </c>
      <c r="U212" s="11">
        <f t="shared" si="21"/>
        <v>4</v>
      </c>
      <c r="V212" s="11">
        <f t="shared" si="22"/>
        <v>1</v>
      </c>
      <c r="W212" s="11" t="str">
        <f t="shared" si="23"/>
        <v>Hors délais</v>
      </c>
    </row>
    <row r="213" spans="1:23" ht="28.5">
      <c r="A213" s="11">
        <v>197</v>
      </c>
      <c r="B213" s="12">
        <v>46104</v>
      </c>
      <c r="C213" s="13" t="s">
        <v>586</v>
      </c>
      <c r="D213" s="13" t="s">
        <v>100</v>
      </c>
      <c r="E213" s="13" t="s">
        <v>587</v>
      </c>
      <c r="F213" s="13" t="s">
        <v>588</v>
      </c>
      <c r="G213" s="11" t="s">
        <v>84</v>
      </c>
      <c r="H213" s="11">
        <f>IFERROR(VLOOKUP(G213,Paramètres!$B$6:$F$8,2,FALSE()),"")</f>
        <v>5</v>
      </c>
      <c r="I213" s="13" t="s">
        <v>71</v>
      </c>
      <c r="J213" s="11" t="s">
        <v>41</v>
      </c>
      <c r="K213" s="12">
        <v>46104</v>
      </c>
      <c r="L213" s="12">
        <v>46104</v>
      </c>
      <c r="M213" s="13" t="s">
        <v>75</v>
      </c>
      <c r="N213" s="14" t="s">
        <v>43</v>
      </c>
      <c r="O213" s="12">
        <v>46120</v>
      </c>
      <c r="P213" s="11">
        <f t="shared" si="18"/>
        <v>16</v>
      </c>
      <c r="Q213" s="11" t="str">
        <f t="shared" ca="1" si="19"/>
        <v>-</v>
      </c>
      <c r="R213" s="11">
        <f>IFERROR(VLOOKUP(G213,Paramètres!$B$6:$F$8,3,FALSE()),"")</f>
        <v>2</v>
      </c>
      <c r="S213" s="11" t="str">
        <f t="shared" ca="1" si="20"/>
        <v>-</v>
      </c>
      <c r="T213" s="12">
        <v>46122</v>
      </c>
      <c r="U213" s="11">
        <f t="shared" si="21"/>
        <v>2</v>
      </c>
      <c r="V213" s="11">
        <f t="shared" si="22"/>
        <v>11</v>
      </c>
      <c r="W213" s="11" t="str">
        <f t="shared" si="23"/>
        <v>Hors délais</v>
      </c>
    </row>
    <row r="214" spans="1:23">
      <c r="A214" s="11">
        <v>198</v>
      </c>
      <c r="B214" s="12">
        <v>46104</v>
      </c>
      <c r="C214" s="13" t="s">
        <v>589</v>
      </c>
      <c r="D214" s="13" t="s">
        <v>45</v>
      </c>
      <c r="E214" s="13"/>
      <c r="F214" s="13" t="s">
        <v>590</v>
      </c>
      <c r="G214" s="11" t="s">
        <v>53</v>
      </c>
      <c r="H214" s="11" t="str">
        <f>IFERROR(VLOOKUP(G214,Paramètres!$B$6:$F$8,2,FALSE()),"")</f>
        <v>N/A</v>
      </c>
      <c r="I214" s="13" t="s">
        <v>65</v>
      </c>
      <c r="J214" s="11" t="s">
        <v>55</v>
      </c>
      <c r="K214" s="12">
        <v>46104</v>
      </c>
      <c r="L214" s="12">
        <v>46104</v>
      </c>
      <c r="M214" s="13" t="s">
        <v>42</v>
      </c>
      <c r="N214" s="14" t="s">
        <v>57</v>
      </c>
      <c r="O214" s="12"/>
      <c r="P214" s="11" t="str">
        <f t="shared" si="18"/>
        <v>-</v>
      </c>
      <c r="Q214" s="11" t="str">
        <f t="shared" ca="1" si="19"/>
        <v>-</v>
      </c>
      <c r="R214" s="11" t="str">
        <f>IFERROR(VLOOKUP(G214,Paramètres!$B$6:$F$8,3,FALSE()),"")</f>
        <v>N/A</v>
      </c>
      <c r="S214" s="11" t="str">
        <f t="shared" ca="1" si="20"/>
        <v>-</v>
      </c>
      <c r="T214" s="12"/>
      <c r="U214" s="11" t="str">
        <f t="shared" si="21"/>
        <v>-</v>
      </c>
      <c r="V214" s="11" t="str">
        <f t="shared" si="22"/>
        <v>-</v>
      </c>
      <c r="W214" s="11" t="str">
        <f t="shared" si="23"/>
        <v>Ne nécessite pas de réponse</v>
      </c>
    </row>
    <row r="215" spans="1:23">
      <c r="A215" s="11">
        <v>199</v>
      </c>
      <c r="B215" s="12">
        <v>46107</v>
      </c>
      <c r="C215" s="13" t="s">
        <v>591</v>
      </c>
      <c r="D215" s="13" t="s">
        <v>89</v>
      </c>
      <c r="E215" s="13"/>
      <c r="F215" s="13" t="s">
        <v>592</v>
      </c>
      <c r="G215" s="11" t="s">
        <v>53</v>
      </c>
      <c r="H215" s="11" t="str">
        <f>IFERROR(VLOOKUP(G215,Paramètres!$B$6:$F$8,2,FALSE()),"")</f>
        <v>N/A</v>
      </c>
      <c r="I215" s="13" t="s">
        <v>91</v>
      </c>
      <c r="J215" s="11" t="s">
        <v>41</v>
      </c>
      <c r="K215" s="12">
        <v>46107</v>
      </c>
      <c r="L215" s="12">
        <v>46108</v>
      </c>
      <c r="M215" s="13"/>
      <c r="N215" s="14" t="s">
        <v>43</v>
      </c>
      <c r="O215" s="12"/>
      <c r="P215" s="11" t="str">
        <f t="shared" si="18"/>
        <v>-</v>
      </c>
      <c r="Q215" s="11" t="str">
        <f t="shared" ca="1" si="19"/>
        <v>-</v>
      </c>
      <c r="R215" s="11" t="str">
        <f>IFERROR(VLOOKUP(G215,Paramètres!$B$6:$F$8,3,FALSE()),"")</f>
        <v>N/A</v>
      </c>
      <c r="S215" s="11" t="str">
        <f t="shared" ca="1" si="20"/>
        <v>-</v>
      </c>
      <c r="T215" s="12"/>
      <c r="U215" s="11" t="str">
        <f t="shared" si="21"/>
        <v>-</v>
      </c>
      <c r="V215" s="11" t="str">
        <f t="shared" si="22"/>
        <v>-</v>
      </c>
      <c r="W215" s="11" t="str">
        <f t="shared" si="23"/>
        <v>Ne nécessite pas de réponse</v>
      </c>
    </row>
    <row r="216" spans="1:23">
      <c r="A216" s="11">
        <v>200</v>
      </c>
      <c r="B216" s="12">
        <v>46107</v>
      </c>
      <c r="C216" s="13" t="s">
        <v>593</v>
      </c>
      <c r="D216" s="13" t="s">
        <v>115</v>
      </c>
      <c r="E216" s="13" t="s">
        <v>594</v>
      </c>
      <c r="F216" s="13" t="s">
        <v>595</v>
      </c>
      <c r="G216" s="11" t="s">
        <v>39</v>
      </c>
      <c r="H216" s="11">
        <f>IFERROR(VLOOKUP(G216,Paramètres!$B$6:$F$8,2,FALSE()),"")</f>
        <v>5</v>
      </c>
      <c r="I216" s="13" t="s">
        <v>74</v>
      </c>
      <c r="J216" s="11" t="s">
        <v>41</v>
      </c>
      <c r="K216" s="12">
        <v>46108</v>
      </c>
      <c r="L216" s="12">
        <v>46108</v>
      </c>
      <c r="M216" s="13" t="s">
        <v>56</v>
      </c>
      <c r="N216" s="14" t="s">
        <v>43</v>
      </c>
      <c r="O216" s="12">
        <v>46112</v>
      </c>
      <c r="P216" s="11">
        <f t="shared" si="18"/>
        <v>5</v>
      </c>
      <c r="Q216" s="11" t="str">
        <f t="shared" ca="1" si="19"/>
        <v>-</v>
      </c>
      <c r="R216" s="11">
        <f>IFERROR(VLOOKUP(G216,Paramètres!$B$6:$F$8,3,FALSE()),"")</f>
        <v>2</v>
      </c>
      <c r="S216" s="11" t="str">
        <f t="shared" ca="1" si="20"/>
        <v>-</v>
      </c>
      <c r="T216" s="12">
        <v>46115</v>
      </c>
      <c r="U216" s="11">
        <f t="shared" si="21"/>
        <v>3</v>
      </c>
      <c r="V216" s="11">
        <f t="shared" si="22"/>
        <v>1</v>
      </c>
      <c r="W216" s="11" t="str">
        <f t="shared" si="23"/>
        <v>Hors délais</v>
      </c>
    </row>
    <row r="217" spans="1:23">
      <c r="A217" s="11">
        <v>201</v>
      </c>
      <c r="B217" s="12">
        <v>46107</v>
      </c>
      <c r="C217" s="13" t="s">
        <v>596</v>
      </c>
      <c r="D217" s="13" t="s">
        <v>59</v>
      </c>
      <c r="E217" s="13"/>
      <c r="F217" s="13" t="s">
        <v>597</v>
      </c>
      <c r="G217" s="11" t="s">
        <v>39</v>
      </c>
      <c r="H217" s="11">
        <f>IFERROR(VLOOKUP(G217,Paramètres!$B$6:$F$8,2,FALSE()),"")</f>
        <v>5</v>
      </c>
      <c r="I217" s="13" t="s">
        <v>426</v>
      </c>
      <c r="J217" s="11" t="s">
        <v>41</v>
      </c>
      <c r="K217" s="12">
        <v>46107</v>
      </c>
      <c r="L217" s="12">
        <v>46108</v>
      </c>
      <c r="M217" s="13" t="s">
        <v>86</v>
      </c>
      <c r="N217" s="14" t="s">
        <v>87</v>
      </c>
      <c r="O217" s="12">
        <v>46114</v>
      </c>
      <c r="P217" s="11">
        <f t="shared" si="18"/>
        <v>7</v>
      </c>
      <c r="Q217" s="11" t="str">
        <f t="shared" ca="1" si="19"/>
        <v>-</v>
      </c>
      <c r="R217" s="11">
        <f>IFERROR(VLOOKUP(G217,Paramètres!$B$6:$F$8,3,FALSE()),"")</f>
        <v>2</v>
      </c>
      <c r="S217" s="11" t="str">
        <f t="shared" ca="1" si="20"/>
        <v>-</v>
      </c>
      <c r="T217" s="12">
        <v>46118</v>
      </c>
      <c r="U217" s="11">
        <f t="shared" si="21"/>
        <v>4</v>
      </c>
      <c r="V217" s="11">
        <f t="shared" si="22"/>
        <v>4</v>
      </c>
      <c r="W217" s="11" t="str">
        <f t="shared" si="23"/>
        <v>Hors délais</v>
      </c>
    </row>
    <row r="218" spans="1:23">
      <c r="A218" s="11">
        <v>202</v>
      </c>
      <c r="B218" s="12">
        <v>46107</v>
      </c>
      <c r="C218" s="13" t="s">
        <v>598</v>
      </c>
      <c r="D218" s="13" t="s">
        <v>81</v>
      </c>
      <c r="E218" s="13" t="s">
        <v>599</v>
      </c>
      <c r="F218" s="13" t="s">
        <v>600</v>
      </c>
      <c r="G218" s="11" t="s">
        <v>39</v>
      </c>
      <c r="H218" s="11">
        <f>IFERROR(VLOOKUP(G218,Paramètres!$B$6:$F$8,2,FALSE()),"")</f>
        <v>5</v>
      </c>
      <c r="I218" s="13" t="s">
        <v>40</v>
      </c>
      <c r="J218" s="11" t="s">
        <v>41</v>
      </c>
      <c r="K218" s="12">
        <v>46107</v>
      </c>
      <c r="L218" s="12">
        <v>46108</v>
      </c>
      <c r="M218" s="13"/>
      <c r="N218" s="14" t="s">
        <v>43</v>
      </c>
      <c r="O218" s="12">
        <v>46115</v>
      </c>
      <c r="P218" s="11">
        <f t="shared" si="18"/>
        <v>8</v>
      </c>
      <c r="Q218" s="11" t="str">
        <f t="shared" ca="1" si="19"/>
        <v>-</v>
      </c>
      <c r="R218" s="11">
        <f>IFERROR(VLOOKUP(G218,Paramètres!$B$6:$F$8,3,FALSE()),"")</f>
        <v>2</v>
      </c>
      <c r="S218" s="11" t="str">
        <f t="shared" ca="1" si="20"/>
        <v>-</v>
      </c>
      <c r="T218" s="12">
        <v>46119</v>
      </c>
      <c r="U218" s="11">
        <f t="shared" si="21"/>
        <v>4</v>
      </c>
      <c r="V218" s="11">
        <f t="shared" si="22"/>
        <v>5</v>
      </c>
      <c r="W218" s="11" t="str">
        <f t="shared" si="23"/>
        <v>Hors délais</v>
      </c>
    </row>
    <row r="219" spans="1:23">
      <c r="A219" s="11">
        <v>203</v>
      </c>
      <c r="B219" s="12">
        <v>46108</v>
      </c>
      <c r="C219" s="13" t="s">
        <v>601</v>
      </c>
      <c r="D219" s="13" t="s">
        <v>118</v>
      </c>
      <c r="E219" s="13" t="s">
        <v>602</v>
      </c>
      <c r="F219" s="13" t="s">
        <v>603</v>
      </c>
      <c r="G219" s="11" t="s">
        <v>39</v>
      </c>
      <c r="H219" s="11">
        <f>IFERROR(VLOOKUP(G219,Paramètres!$B$6:$F$8,2,FALSE()),"")</f>
        <v>5</v>
      </c>
      <c r="I219" s="13" t="s">
        <v>65</v>
      </c>
      <c r="J219" s="11" t="s">
        <v>55</v>
      </c>
      <c r="K219" s="12">
        <v>46111</v>
      </c>
      <c r="L219" s="12">
        <v>46111</v>
      </c>
      <c r="M219" s="13"/>
      <c r="N219" s="14" t="s">
        <v>57</v>
      </c>
      <c r="O219" s="12">
        <v>46118</v>
      </c>
      <c r="P219" s="11">
        <f t="shared" si="18"/>
        <v>10</v>
      </c>
      <c r="Q219" s="11" t="str">
        <f t="shared" ca="1" si="19"/>
        <v>-</v>
      </c>
      <c r="R219" s="11">
        <f>IFERROR(VLOOKUP(G219,Paramètres!$B$6:$F$8,3,FALSE()),"")</f>
        <v>2</v>
      </c>
      <c r="S219" s="11" t="str">
        <f t="shared" ca="1" si="20"/>
        <v>-</v>
      </c>
      <c r="T219" s="12">
        <v>46120</v>
      </c>
      <c r="U219" s="11">
        <f t="shared" si="21"/>
        <v>2</v>
      </c>
      <c r="V219" s="11">
        <f t="shared" si="22"/>
        <v>5</v>
      </c>
      <c r="W219" s="11" t="str">
        <f t="shared" si="23"/>
        <v>Hors délais</v>
      </c>
    </row>
    <row r="220" spans="1:23" ht="28.5">
      <c r="A220" s="11">
        <v>204</v>
      </c>
      <c r="B220" s="12">
        <v>46108</v>
      </c>
      <c r="C220" s="13" t="s">
        <v>604</v>
      </c>
      <c r="D220" s="13" t="s">
        <v>100</v>
      </c>
      <c r="E220" s="13"/>
      <c r="F220" s="13" t="s">
        <v>605</v>
      </c>
      <c r="G220" s="11" t="s">
        <v>39</v>
      </c>
      <c r="H220" s="11">
        <f>IFERROR(VLOOKUP(G220,Paramètres!$B$6:$F$8,2,FALSE()),"")</f>
        <v>5</v>
      </c>
      <c r="I220" s="13" t="s">
        <v>232</v>
      </c>
      <c r="J220" s="11" t="s">
        <v>55</v>
      </c>
      <c r="K220" s="12">
        <v>46108</v>
      </c>
      <c r="L220" s="12">
        <v>46111</v>
      </c>
      <c r="M220" s="13" t="s">
        <v>75</v>
      </c>
      <c r="N220" s="14" t="s">
        <v>102</v>
      </c>
      <c r="O220" s="12">
        <v>46114</v>
      </c>
      <c r="P220" s="11">
        <f t="shared" si="18"/>
        <v>6</v>
      </c>
      <c r="Q220" s="11" t="str">
        <f t="shared" ca="1" si="19"/>
        <v>-</v>
      </c>
      <c r="R220" s="11">
        <f>IFERROR(VLOOKUP(G220,Paramètres!$B$6:$F$8,3,FALSE()),"")</f>
        <v>2</v>
      </c>
      <c r="S220" s="11" t="str">
        <f t="shared" ca="1" si="20"/>
        <v>-</v>
      </c>
      <c r="T220" s="12">
        <v>46121</v>
      </c>
      <c r="U220" s="11">
        <f t="shared" si="21"/>
        <v>7</v>
      </c>
      <c r="V220" s="11">
        <f t="shared" si="22"/>
        <v>6</v>
      </c>
      <c r="W220" s="11" t="str">
        <f t="shared" si="23"/>
        <v>Hors délais</v>
      </c>
    </row>
    <row r="221" spans="1:23">
      <c r="A221" s="11">
        <v>205</v>
      </c>
      <c r="B221" s="12">
        <v>46108</v>
      </c>
      <c r="C221" s="13" t="s">
        <v>606</v>
      </c>
      <c r="D221" s="13" t="s">
        <v>137</v>
      </c>
      <c r="E221" s="13"/>
      <c r="F221" s="13" t="s">
        <v>607</v>
      </c>
      <c r="G221" s="11" t="s">
        <v>39</v>
      </c>
      <c r="H221" s="11">
        <f>IFERROR(VLOOKUP(G221,Paramètres!$B$6:$F$8,2,FALSE()),"")</f>
        <v>5</v>
      </c>
      <c r="I221" s="13" t="s">
        <v>65</v>
      </c>
      <c r="J221" s="11" t="s">
        <v>55</v>
      </c>
      <c r="K221" s="12">
        <v>46108</v>
      </c>
      <c r="L221" s="12">
        <v>46108</v>
      </c>
      <c r="M221" s="13" t="s">
        <v>56</v>
      </c>
      <c r="N221" s="14" t="s">
        <v>102</v>
      </c>
      <c r="O221" s="12">
        <v>46115</v>
      </c>
      <c r="P221" s="11">
        <f t="shared" si="18"/>
        <v>7</v>
      </c>
      <c r="Q221" s="11" t="str">
        <f t="shared" ca="1" si="19"/>
        <v>-</v>
      </c>
      <c r="R221" s="11">
        <f>IFERROR(VLOOKUP(G221,Paramètres!$B$6:$F$8,3,FALSE()),"")</f>
        <v>2</v>
      </c>
      <c r="S221" s="11" t="str">
        <f t="shared" ca="1" si="20"/>
        <v>-</v>
      </c>
      <c r="T221" s="12">
        <v>46118</v>
      </c>
      <c r="U221" s="11">
        <f t="shared" si="21"/>
        <v>3</v>
      </c>
      <c r="V221" s="11">
        <f t="shared" si="22"/>
        <v>3</v>
      </c>
      <c r="W221" s="11" t="str">
        <f t="shared" si="23"/>
        <v>Hors délais</v>
      </c>
    </row>
    <row r="222" spans="1:23">
      <c r="A222" s="11">
        <v>206</v>
      </c>
      <c r="B222" s="12">
        <v>46108</v>
      </c>
      <c r="C222" s="13" t="s">
        <v>608</v>
      </c>
      <c r="D222" s="13" t="s">
        <v>145</v>
      </c>
      <c r="E222" s="13" t="s">
        <v>609</v>
      </c>
      <c r="F222" s="13" t="s">
        <v>610</v>
      </c>
      <c r="G222" s="11" t="s">
        <v>39</v>
      </c>
      <c r="H222" s="11">
        <f>IFERROR(VLOOKUP(G222,Paramètres!$B$6:$F$8,2,FALSE()),"")</f>
        <v>5</v>
      </c>
      <c r="I222" s="13" t="s">
        <v>40</v>
      </c>
      <c r="J222" s="11" t="s">
        <v>41</v>
      </c>
      <c r="K222" s="12">
        <v>46108</v>
      </c>
      <c r="L222" s="12">
        <v>46111</v>
      </c>
      <c r="M222" s="13"/>
      <c r="N222" s="14" t="s">
        <v>43</v>
      </c>
      <c r="O222" s="12">
        <v>46118</v>
      </c>
      <c r="P222" s="11">
        <f t="shared" si="18"/>
        <v>10</v>
      </c>
      <c r="Q222" s="11" t="str">
        <f t="shared" ca="1" si="19"/>
        <v>-</v>
      </c>
      <c r="R222" s="11">
        <f>IFERROR(VLOOKUP(G222,Paramètres!$B$6:$F$8,3,FALSE()),"")</f>
        <v>2</v>
      </c>
      <c r="S222" s="11" t="str">
        <f t="shared" ca="1" si="20"/>
        <v>-</v>
      </c>
      <c r="T222" s="12">
        <v>46120</v>
      </c>
      <c r="U222" s="11">
        <f t="shared" si="21"/>
        <v>2</v>
      </c>
      <c r="V222" s="11">
        <f t="shared" si="22"/>
        <v>5</v>
      </c>
      <c r="W222" s="11" t="str">
        <f t="shared" si="23"/>
        <v>Hors délais</v>
      </c>
    </row>
    <row r="223" spans="1:23">
      <c r="A223" s="11">
        <v>207</v>
      </c>
      <c r="B223" s="12">
        <v>46108</v>
      </c>
      <c r="C223" s="13" t="s">
        <v>611</v>
      </c>
      <c r="D223" s="13" t="s">
        <v>137</v>
      </c>
      <c r="E223" s="13"/>
      <c r="F223" s="13" t="s">
        <v>612</v>
      </c>
      <c r="G223" s="11" t="s">
        <v>84</v>
      </c>
      <c r="H223" s="11">
        <f>IFERROR(VLOOKUP(G223,Paramètres!$B$6:$F$8,2,FALSE()),"")</f>
        <v>5</v>
      </c>
      <c r="I223" s="13" t="s">
        <v>74</v>
      </c>
      <c r="J223" s="11" t="s">
        <v>41</v>
      </c>
      <c r="K223" s="12">
        <v>46108</v>
      </c>
      <c r="L223" s="12">
        <v>46108</v>
      </c>
      <c r="M223" s="13" t="s">
        <v>42</v>
      </c>
      <c r="N223" s="14" t="s">
        <v>87</v>
      </c>
      <c r="O223" s="12">
        <v>46114</v>
      </c>
      <c r="P223" s="11">
        <f t="shared" si="18"/>
        <v>6</v>
      </c>
      <c r="Q223" s="11" t="str">
        <f t="shared" ca="1" si="19"/>
        <v>-</v>
      </c>
      <c r="R223" s="11">
        <f>IFERROR(VLOOKUP(G223,Paramètres!$B$6:$F$8,3,FALSE()),"")</f>
        <v>2</v>
      </c>
      <c r="S223" s="11" t="str">
        <f t="shared" ca="1" si="20"/>
        <v>-</v>
      </c>
      <c r="T223" s="12">
        <v>46118</v>
      </c>
      <c r="U223" s="11">
        <f t="shared" si="21"/>
        <v>4</v>
      </c>
      <c r="V223" s="11">
        <f t="shared" si="22"/>
        <v>3</v>
      </c>
      <c r="W223" s="11" t="str">
        <f t="shared" si="23"/>
        <v>Hors délais</v>
      </c>
    </row>
    <row r="224" spans="1:23">
      <c r="A224" s="11">
        <v>208</v>
      </c>
      <c r="B224" s="12">
        <v>46108</v>
      </c>
      <c r="C224" s="13" t="s">
        <v>613</v>
      </c>
      <c r="D224" s="13" t="s">
        <v>63</v>
      </c>
      <c r="E224" s="13"/>
      <c r="F224" s="13" t="s">
        <v>614</v>
      </c>
      <c r="G224" s="11" t="s">
        <v>39</v>
      </c>
      <c r="H224" s="11">
        <f>IFERROR(VLOOKUP(G224,Paramètres!$B$6:$F$8,2,FALSE()),"")</f>
        <v>5</v>
      </c>
      <c r="I224" s="13" t="s">
        <v>108</v>
      </c>
      <c r="J224" s="11" t="s">
        <v>55</v>
      </c>
      <c r="K224" s="12">
        <v>46111</v>
      </c>
      <c r="L224" s="12">
        <v>46111</v>
      </c>
      <c r="M224" s="13"/>
      <c r="N224" s="14" t="s">
        <v>102</v>
      </c>
      <c r="O224" s="12">
        <v>46113</v>
      </c>
      <c r="P224" s="11">
        <f t="shared" si="18"/>
        <v>5</v>
      </c>
      <c r="Q224" s="11" t="str">
        <f t="shared" ca="1" si="19"/>
        <v>-</v>
      </c>
      <c r="R224" s="11">
        <f>IFERROR(VLOOKUP(G224,Paramètres!$B$6:$F$8,3,FALSE()),"")</f>
        <v>2</v>
      </c>
      <c r="S224" s="11" t="str">
        <f t="shared" ca="1" si="20"/>
        <v>-</v>
      </c>
      <c r="T224" s="12">
        <v>46114</v>
      </c>
      <c r="U224" s="11">
        <f t="shared" si="21"/>
        <v>1</v>
      </c>
      <c r="V224" s="11">
        <f t="shared" si="22"/>
        <v>-1</v>
      </c>
      <c r="W224" s="11" t="str">
        <f t="shared" si="23"/>
        <v>Dans les délais</v>
      </c>
    </row>
    <row r="225" spans="1:23">
      <c r="A225" s="11">
        <v>209</v>
      </c>
      <c r="B225" s="12">
        <v>46111</v>
      </c>
      <c r="C225" s="13" t="s">
        <v>615</v>
      </c>
      <c r="D225" s="13" t="s">
        <v>345</v>
      </c>
      <c r="E225" s="13"/>
      <c r="F225" s="13" t="s">
        <v>616</v>
      </c>
      <c r="G225" s="11" t="s">
        <v>84</v>
      </c>
      <c r="H225" s="11">
        <f>IFERROR(VLOOKUP(G225,Paramètres!$B$6:$F$8,2,FALSE()),"")</f>
        <v>5</v>
      </c>
      <c r="I225" s="13" t="s">
        <v>71</v>
      </c>
      <c r="J225" s="11" t="s">
        <v>41</v>
      </c>
      <c r="K225" s="12">
        <v>46111</v>
      </c>
      <c r="L225" s="12">
        <v>46111</v>
      </c>
      <c r="M225" s="13" t="s">
        <v>49</v>
      </c>
      <c r="N225" s="14" t="s">
        <v>43</v>
      </c>
      <c r="O225" s="12">
        <v>46115</v>
      </c>
      <c r="P225" s="11">
        <f t="shared" si="18"/>
        <v>4</v>
      </c>
      <c r="Q225" s="11" t="str">
        <f t="shared" ca="1" si="19"/>
        <v>-</v>
      </c>
      <c r="R225" s="11">
        <f>IFERROR(VLOOKUP(G225,Paramètres!$B$6:$F$8,3,FALSE()),"")</f>
        <v>2</v>
      </c>
      <c r="S225" s="11" t="str">
        <f t="shared" ca="1" si="20"/>
        <v>-</v>
      </c>
      <c r="T225" s="12">
        <v>46118</v>
      </c>
      <c r="U225" s="11">
        <f t="shared" si="21"/>
        <v>3</v>
      </c>
      <c r="V225" s="11">
        <f t="shared" si="22"/>
        <v>0</v>
      </c>
      <c r="W225" s="11" t="str">
        <f t="shared" si="23"/>
        <v>Dans les délais</v>
      </c>
    </row>
    <row r="226" spans="1:23">
      <c r="A226" s="11">
        <v>210</v>
      </c>
      <c r="B226" s="12">
        <v>46111</v>
      </c>
      <c r="C226" s="13" t="s">
        <v>617</v>
      </c>
      <c r="D226" s="13" t="s">
        <v>68</v>
      </c>
      <c r="E226" s="13" t="s">
        <v>618</v>
      </c>
      <c r="F226" s="13" t="s">
        <v>619</v>
      </c>
      <c r="G226" s="11" t="s">
        <v>53</v>
      </c>
      <c r="H226" s="11" t="str">
        <f>IFERROR(VLOOKUP(G226,Paramètres!$B$6:$F$8,2,FALSE()),"")</f>
        <v>N/A</v>
      </c>
      <c r="I226" s="13" t="s">
        <v>155</v>
      </c>
      <c r="J226" s="11" t="s">
        <v>48</v>
      </c>
      <c r="K226" s="12">
        <v>46111</v>
      </c>
      <c r="L226" s="12">
        <v>46112</v>
      </c>
      <c r="M226" s="13"/>
      <c r="N226" s="14" t="s">
        <v>50</v>
      </c>
      <c r="O226" s="12"/>
      <c r="P226" s="11" t="str">
        <f t="shared" si="18"/>
        <v>-</v>
      </c>
      <c r="Q226" s="11" t="str">
        <f t="shared" ca="1" si="19"/>
        <v>-</v>
      </c>
      <c r="R226" s="11" t="str">
        <f>IFERROR(VLOOKUP(G226,Paramètres!$B$6:$F$8,3,FALSE()),"")</f>
        <v>N/A</v>
      </c>
      <c r="S226" s="11" t="str">
        <f t="shared" ca="1" si="20"/>
        <v>-</v>
      </c>
      <c r="T226" s="12"/>
      <c r="U226" s="11" t="str">
        <f t="shared" si="21"/>
        <v>-</v>
      </c>
      <c r="V226" s="11" t="str">
        <f t="shared" si="22"/>
        <v>-</v>
      </c>
      <c r="W226" s="11" t="str">
        <f t="shared" si="23"/>
        <v>Ne nécessite pas de réponse</v>
      </c>
    </row>
    <row r="227" spans="1:23">
      <c r="A227" s="11">
        <v>211</v>
      </c>
      <c r="B227" s="12">
        <v>46111</v>
      </c>
      <c r="C227" s="13" t="s">
        <v>620</v>
      </c>
      <c r="D227" s="13" t="s">
        <v>175</v>
      </c>
      <c r="E227" s="13" t="s">
        <v>621</v>
      </c>
      <c r="F227" s="13" t="s">
        <v>622</v>
      </c>
      <c r="G227" s="11" t="s">
        <v>39</v>
      </c>
      <c r="H227" s="11">
        <f>IFERROR(VLOOKUP(G227,Paramètres!$B$6:$F$8,2,FALSE()),"")</f>
        <v>5</v>
      </c>
      <c r="I227" s="13" t="s">
        <v>120</v>
      </c>
      <c r="J227" s="11" t="s">
        <v>48</v>
      </c>
      <c r="K227" s="12">
        <v>46111</v>
      </c>
      <c r="L227" s="12">
        <v>46112</v>
      </c>
      <c r="M227" s="13" t="s">
        <v>49</v>
      </c>
      <c r="N227" s="14" t="s">
        <v>186</v>
      </c>
      <c r="O227" s="12">
        <v>46118</v>
      </c>
      <c r="P227" s="11">
        <f t="shared" si="18"/>
        <v>7</v>
      </c>
      <c r="Q227" s="11" t="str">
        <f t="shared" ca="1" si="19"/>
        <v>-</v>
      </c>
      <c r="R227" s="11">
        <f>IFERROR(VLOOKUP(G227,Paramètres!$B$6:$F$8,3,FALSE()),"")</f>
        <v>2</v>
      </c>
      <c r="S227" s="11" t="str">
        <f t="shared" ca="1" si="20"/>
        <v>-</v>
      </c>
      <c r="T227" s="12">
        <v>46120</v>
      </c>
      <c r="U227" s="11">
        <f t="shared" si="21"/>
        <v>2</v>
      </c>
      <c r="V227" s="11">
        <f t="shared" si="22"/>
        <v>2</v>
      </c>
      <c r="W227" s="11" t="str">
        <f t="shared" si="23"/>
        <v>Hors délais</v>
      </c>
    </row>
    <row r="228" spans="1:23">
      <c r="A228" s="11">
        <v>212</v>
      </c>
      <c r="B228" s="12">
        <v>46112</v>
      </c>
      <c r="C228" s="13" t="s">
        <v>623</v>
      </c>
      <c r="D228" s="13" t="s">
        <v>104</v>
      </c>
      <c r="E228" s="13" t="s">
        <v>624</v>
      </c>
      <c r="F228" s="13" t="s">
        <v>625</v>
      </c>
      <c r="G228" s="11" t="s">
        <v>39</v>
      </c>
      <c r="H228" s="11">
        <f>IFERROR(VLOOKUP(G228,Paramètres!$B$6:$F$8,2,FALSE()),"")</f>
        <v>5</v>
      </c>
      <c r="I228" s="13" t="s">
        <v>130</v>
      </c>
      <c r="J228" s="11" t="s">
        <v>48</v>
      </c>
      <c r="K228" s="12">
        <v>46112</v>
      </c>
      <c r="L228" s="12">
        <v>46112</v>
      </c>
      <c r="M228" s="13" t="s">
        <v>49</v>
      </c>
      <c r="N228" s="14" t="s">
        <v>186</v>
      </c>
      <c r="O228" s="12"/>
      <c r="P228" s="11" t="str">
        <f t="shared" si="18"/>
        <v/>
      </c>
      <c r="Q228" s="11" t="str">
        <f t="shared" ca="1" si="19"/>
        <v>ROUGE</v>
      </c>
      <c r="R228" s="11">
        <f>IFERROR(VLOOKUP(G228,Paramètres!$B$6:$F$8,3,FALSE()),"")</f>
        <v>2</v>
      </c>
      <c r="S228" s="11" t="str">
        <f t="shared" ca="1" si="20"/>
        <v/>
      </c>
      <c r="T228" s="12"/>
      <c r="U228" s="11" t="str">
        <f t="shared" si="21"/>
        <v/>
      </c>
      <c r="V228" s="11" t="str">
        <f t="shared" si="22"/>
        <v/>
      </c>
      <c r="W228" s="11" t="str">
        <f t="shared" si="23"/>
        <v/>
      </c>
    </row>
    <row r="229" spans="1:23">
      <c r="A229" s="11">
        <v>213</v>
      </c>
      <c r="B229" s="12">
        <v>46112</v>
      </c>
      <c r="C229" s="13" t="s">
        <v>626</v>
      </c>
      <c r="D229" s="13" t="s">
        <v>89</v>
      </c>
      <c r="E229" s="13"/>
      <c r="F229" s="13" t="s">
        <v>627</v>
      </c>
      <c r="G229" s="11" t="s">
        <v>39</v>
      </c>
      <c r="H229" s="11">
        <f>IFERROR(VLOOKUP(G229,Paramètres!$B$6:$F$8,2,FALSE()),"")</f>
        <v>5</v>
      </c>
      <c r="I229" s="13" t="s">
        <v>85</v>
      </c>
      <c r="J229" s="11" t="s">
        <v>41</v>
      </c>
      <c r="K229" s="12">
        <v>46112</v>
      </c>
      <c r="L229" s="12">
        <v>46112</v>
      </c>
      <c r="M229" s="13" t="s">
        <v>61</v>
      </c>
      <c r="N229" s="14" t="s">
        <v>43</v>
      </c>
      <c r="O229" s="12">
        <v>46115</v>
      </c>
      <c r="P229" s="11">
        <f t="shared" si="18"/>
        <v>3</v>
      </c>
      <c r="Q229" s="11" t="str">
        <f t="shared" ca="1" si="19"/>
        <v>-</v>
      </c>
      <c r="R229" s="11">
        <f>IFERROR(VLOOKUP(G229,Paramètres!$B$6:$F$8,3,FALSE()),"")</f>
        <v>2</v>
      </c>
      <c r="S229" s="11" t="str">
        <f t="shared" ca="1" si="20"/>
        <v>-</v>
      </c>
      <c r="T229" s="12">
        <v>46120</v>
      </c>
      <c r="U229" s="11">
        <f t="shared" si="21"/>
        <v>5</v>
      </c>
      <c r="V229" s="11">
        <f t="shared" si="22"/>
        <v>1</v>
      </c>
      <c r="W229" s="11" t="str">
        <f t="shared" si="23"/>
        <v>Hors délais</v>
      </c>
    </row>
    <row r="230" spans="1:23">
      <c r="A230" s="11">
        <v>214</v>
      </c>
      <c r="B230" s="12">
        <v>46114</v>
      </c>
      <c r="C230" s="13" t="s">
        <v>628</v>
      </c>
      <c r="D230" s="13" t="s">
        <v>89</v>
      </c>
      <c r="E230" s="13" t="s">
        <v>629</v>
      </c>
      <c r="F230" s="13" t="s">
        <v>630</v>
      </c>
      <c r="G230" s="11" t="s">
        <v>39</v>
      </c>
      <c r="H230" s="11">
        <f>IFERROR(VLOOKUP(G230,Paramètres!$B$6:$F$8,2,FALSE()),"")</f>
        <v>5</v>
      </c>
      <c r="I230" s="13" t="s">
        <v>240</v>
      </c>
      <c r="J230" s="11" t="s">
        <v>55</v>
      </c>
      <c r="K230" s="12">
        <v>46115</v>
      </c>
      <c r="L230" s="12">
        <v>46118</v>
      </c>
      <c r="M230" s="13" t="s">
        <v>49</v>
      </c>
      <c r="N230" s="14" t="s">
        <v>102</v>
      </c>
      <c r="O230" s="12">
        <v>46121</v>
      </c>
      <c r="P230" s="11">
        <f t="shared" si="18"/>
        <v>7</v>
      </c>
      <c r="Q230" s="11" t="str">
        <f t="shared" ca="1" si="19"/>
        <v>-</v>
      </c>
      <c r="R230" s="11">
        <f>IFERROR(VLOOKUP(G230,Paramètres!$B$6:$F$8,3,FALSE()),"")</f>
        <v>2</v>
      </c>
      <c r="S230" s="11" t="str">
        <f t="shared" ca="1" si="20"/>
        <v>-</v>
      </c>
      <c r="T230" s="12">
        <v>46121</v>
      </c>
      <c r="U230" s="11">
        <f t="shared" si="21"/>
        <v>0</v>
      </c>
      <c r="V230" s="11">
        <f t="shared" si="22"/>
        <v>0</v>
      </c>
      <c r="W230" s="11" t="str">
        <f t="shared" si="23"/>
        <v>Dans les délais</v>
      </c>
    </row>
    <row r="231" spans="1:23">
      <c r="A231" s="11">
        <v>215</v>
      </c>
      <c r="B231" s="12">
        <v>46114</v>
      </c>
      <c r="C231" s="13" t="s">
        <v>631</v>
      </c>
      <c r="D231" s="13" t="s">
        <v>123</v>
      </c>
      <c r="E231" s="13"/>
      <c r="F231" s="13" t="s">
        <v>632</v>
      </c>
      <c r="G231" s="11" t="s">
        <v>39</v>
      </c>
      <c r="H231" s="11">
        <f>IFERROR(VLOOKUP(G231,Paramètres!$B$6:$F$8,2,FALSE()),"")</f>
        <v>5</v>
      </c>
      <c r="I231" s="13" t="s">
        <v>190</v>
      </c>
      <c r="J231" s="11" t="s">
        <v>48</v>
      </c>
      <c r="K231" s="12">
        <v>46115</v>
      </c>
      <c r="L231" s="12">
        <v>46118</v>
      </c>
      <c r="M231" s="13" t="s">
        <v>86</v>
      </c>
      <c r="N231" s="14" t="s">
        <v>121</v>
      </c>
      <c r="O231" s="12">
        <v>46121</v>
      </c>
      <c r="P231" s="11">
        <f t="shared" si="18"/>
        <v>7</v>
      </c>
      <c r="Q231" s="11" t="str">
        <f t="shared" ca="1" si="19"/>
        <v>-</v>
      </c>
      <c r="R231" s="11">
        <f>IFERROR(VLOOKUP(G231,Paramètres!$B$6:$F$8,3,FALSE()),"")</f>
        <v>2</v>
      </c>
      <c r="S231" s="11" t="str">
        <f t="shared" ca="1" si="20"/>
        <v>-</v>
      </c>
      <c r="T231" s="12">
        <v>46125</v>
      </c>
      <c r="U231" s="11">
        <f t="shared" si="21"/>
        <v>4</v>
      </c>
      <c r="V231" s="11">
        <f t="shared" si="22"/>
        <v>4</v>
      </c>
      <c r="W231" s="11" t="str">
        <f t="shared" si="23"/>
        <v>Hors délais</v>
      </c>
    </row>
    <row r="232" spans="1:23">
      <c r="A232" s="11">
        <v>216</v>
      </c>
      <c r="B232" s="12">
        <v>46114</v>
      </c>
      <c r="C232" s="13" t="s">
        <v>633</v>
      </c>
      <c r="D232" s="13" t="s">
        <v>145</v>
      </c>
      <c r="E232" s="13"/>
      <c r="F232" s="13" t="s">
        <v>634</v>
      </c>
      <c r="G232" s="11" t="s">
        <v>39</v>
      </c>
      <c r="H232" s="11">
        <f>IFERROR(VLOOKUP(G232,Paramètres!$B$6:$F$8,2,FALSE()),"")</f>
        <v>5</v>
      </c>
      <c r="I232" s="13" t="s">
        <v>185</v>
      </c>
      <c r="J232" s="11" t="s">
        <v>48</v>
      </c>
      <c r="K232" s="12">
        <v>46114</v>
      </c>
      <c r="L232" s="12">
        <v>46114</v>
      </c>
      <c r="M232" s="13"/>
      <c r="N232" s="14" t="s">
        <v>186</v>
      </c>
      <c r="O232" s="12">
        <v>46119</v>
      </c>
      <c r="P232" s="11">
        <f t="shared" si="18"/>
        <v>5</v>
      </c>
      <c r="Q232" s="11" t="str">
        <f t="shared" ca="1" si="19"/>
        <v>-</v>
      </c>
      <c r="R232" s="11">
        <f>IFERROR(VLOOKUP(G232,Paramètres!$B$6:$F$8,3,FALSE()),"")</f>
        <v>2</v>
      </c>
      <c r="S232" s="11" t="str">
        <f t="shared" ca="1" si="20"/>
        <v>-</v>
      </c>
      <c r="T232" s="12">
        <v>46122</v>
      </c>
      <c r="U232" s="11">
        <f t="shared" si="21"/>
        <v>3</v>
      </c>
      <c r="V232" s="11">
        <f t="shared" si="22"/>
        <v>1</v>
      </c>
      <c r="W232" s="11" t="str">
        <f t="shared" si="23"/>
        <v>Hors délais</v>
      </c>
    </row>
    <row r="233" spans="1:23" ht="28.5">
      <c r="A233" s="11">
        <v>217</v>
      </c>
      <c r="B233" s="12">
        <v>46114</v>
      </c>
      <c r="C233" s="13" t="s">
        <v>635</v>
      </c>
      <c r="D233" s="13" t="s">
        <v>59</v>
      </c>
      <c r="E233" s="13" t="s">
        <v>636</v>
      </c>
      <c r="F233" s="13" t="s">
        <v>637</v>
      </c>
      <c r="G233" s="11" t="s">
        <v>39</v>
      </c>
      <c r="H233" s="11">
        <f>IFERROR(VLOOKUP(G233,Paramètres!$B$6:$F$8,2,FALSE()),"")</f>
        <v>5</v>
      </c>
      <c r="I233" s="13" t="s">
        <v>94</v>
      </c>
      <c r="J233" s="11" t="s">
        <v>55</v>
      </c>
      <c r="K233" s="12">
        <v>46114</v>
      </c>
      <c r="L233" s="12">
        <v>46114</v>
      </c>
      <c r="M233" s="13" t="s">
        <v>75</v>
      </c>
      <c r="N233" s="14" t="s">
        <v>102</v>
      </c>
      <c r="O233" s="12">
        <v>46121</v>
      </c>
      <c r="P233" s="11">
        <f t="shared" si="18"/>
        <v>7</v>
      </c>
      <c r="Q233" s="11" t="str">
        <f t="shared" ca="1" si="19"/>
        <v>-</v>
      </c>
      <c r="R233" s="11">
        <f>IFERROR(VLOOKUP(G233,Paramètres!$B$6:$F$8,3,FALSE()),"")</f>
        <v>2</v>
      </c>
      <c r="S233" s="11" t="str">
        <f t="shared" ca="1" si="20"/>
        <v>-</v>
      </c>
      <c r="T233" s="12">
        <v>46125</v>
      </c>
      <c r="U233" s="11">
        <f t="shared" si="21"/>
        <v>4</v>
      </c>
      <c r="V233" s="11">
        <f t="shared" si="22"/>
        <v>4</v>
      </c>
      <c r="W233" s="11" t="str">
        <f t="shared" si="23"/>
        <v>Hors délais</v>
      </c>
    </row>
    <row r="234" spans="1:23">
      <c r="A234" s="11">
        <v>218</v>
      </c>
      <c r="B234" s="12">
        <v>46114</v>
      </c>
      <c r="C234" s="13" t="s">
        <v>638</v>
      </c>
      <c r="D234" s="13" t="s">
        <v>145</v>
      </c>
      <c r="E234" s="13" t="s">
        <v>639</v>
      </c>
      <c r="F234" s="13" t="s">
        <v>640</v>
      </c>
      <c r="G234" s="11" t="s">
        <v>39</v>
      </c>
      <c r="H234" s="11">
        <f>IFERROR(VLOOKUP(G234,Paramètres!$B$6:$F$8,2,FALSE()),"")</f>
        <v>5</v>
      </c>
      <c r="I234" s="13" t="s">
        <v>94</v>
      </c>
      <c r="J234" s="11" t="s">
        <v>55</v>
      </c>
      <c r="K234" s="12">
        <v>46115</v>
      </c>
      <c r="L234" s="12">
        <v>46115</v>
      </c>
      <c r="M234" s="13" t="s">
        <v>49</v>
      </c>
      <c r="N234" s="14" t="s">
        <v>57</v>
      </c>
      <c r="O234" s="12">
        <v>46119</v>
      </c>
      <c r="P234" s="11">
        <f t="shared" si="18"/>
        <v>5</v>
      </c>
      <c r="Q234" s="11" t="str">
        <f t="shared" ca="1" si="19"/>
        <v>-</v>
      </c>
      <c r="R234" s="11">
        <f>IFERROR(VLOOKUP(G234,Paramètres!$B$6:$F$8,3,FALSE()),"")</f>
        <v>2</v>
      </c>
      <c r="S234" s="11" t="str">
        <f t="shared" ca="1" si="20"/>
        <v>-</v>
      </c>
      <c r="T234" s="12">
        <v>46120</v>
      </c>
      <c r="U234" s="11">
        <f t="shared" si="21"/>
        <v>1</v>
      </c>
      <c r="V234" s="11">
        <f t="shared" si="22"/>
        <v>-1</v>
      </c>
      <c r="W234" s="11" t="str">
        <f t="shared" si="23"/>
        <v>Dans les délais</v>
      </c>
    </row>
    <row r="235" spans="1:23" ht="28.5">
      <c r="A235" s="11">
        <v>219</v>
      </c>
      <c r="B235" s="12">
        <v>46114</v>
      </c>
      <c r="C235" s="13" t="s">
        <v>641</v>
      </c>
      <c r="D235" s="13" t="s">
        <v>37</v>
      </c>
      <c r="E235" s="13" t="s">
        <v>642</v>
      </c>
      <c r="F235" s="13" t="s">
        <v>643</v>
      </c>
      <c r="G235" s="11" t="s">
        <v>39</v>
      </c>
      <c r="H235" s="11">
        <f>IFERROR(VLOOKUP(G235,Paramètres!$B$6:$F$8,2,FALSE()),"")</f>
        <v>5</v>
      </c>
      <c r="I235" s="13" t="s">
        <v>47</v>
      </c>
      <c r="J235" s="11" t="s">
        <v>48</v>
      </c>
      <c r="K235" s="12">
        <v>46115</v>
      </c>
      <c r="L235" s="12">
        <v>46118</v>
      </c>
      <c r="M235" s="13" t="s">
        <v>75</v>
      </c>
      <c r="N235" s="14" t="s">
        <v>121</v>
      </c>
      <c r="O235" s="12">
        <v>46119</v>
      </c>
      <c r="P235" s="11">
        <f t="shared" si="18"/>
        <v>5</v>
      </c>
      <c r="Q235" s="11" t="str">
        <f t="shared" ca="1" si="19"/>
        <v>-</v>
      </c>
      <c r="R235" s="11">
        <f>IFERROR(VLOOKUP(G235,Paramètres!$B$6:$F$8,3,FALSE()),"")</f>
        <v>2</v>
      </c>
      <c r="S235" s="11" t="str">
        <f t="shared" ca="1" si="20"/>
        <v>-</v>
      </c>
      <c r="T235" s="12">
        <v>46121</v>
      </c>
      <c r="U235" s="11">
        <f t="shared" si="21"/>
        <v>2</v>
      </c>
      <c r="V235" s="11">
        <f t="shared" si="22"/>
        <v>0</v>
      </c>
      <c r="W235" s="11" t="str">
        <f t="shared" si="23"/>
        <v>Dans les délais</v>
      </c>
    </row>
    <row r="236" spans="1:23">
      <c r="A236" s="11">
        <v>220</v>
      </c>
      <c r="B236" s="12">
        <v>46114</v>
      </c>
      <c r="C236" s="13" t="s">
        <v>644</v>
      </c>
      <c r="D236" s="13" t="s">
        <v>137</v>
      </c>
      <c r="E236" s="13" t="s">
        <v>645</v>
      </c>
      <c r="F236" s="13" t="s">
        <v>646</v>
      </c>
      <c r="G236" s="11" t="s">
        <v>53</v>
      </c>
      <c r="H236" s="11" t="str">
        <f>IFERROR(VLOOKUP(G236,Paramètres!$B$6:$F$8,2,FALSE()),"")</f>
        <v>N/A</v>
      </c>
      <c r="I236" s="13" t="s">
        <v>108</v>
      </c>
      <c r="J236" s="11" t="s">
        <v>55</v>
      </c>
      <c r="K236" s="12">
        <v>46114</v>
      </c>
      <c r="L236" s="12">
        <v>46115</v>
      </c>
      <c r="M236" s="13" t="s">
        <v>56</v>
      </c>
      <c r="N236" s="14" t="s">
        <v>102</v>
      </c>
      <c r="O236" s="12"/>
      <c r="P236" s="11" t="str">
        <f t="shared" si="18"/>
        <v>-</v>
      </c>
      <c r="Q236" s="11" t="str">
        <f t="shared" ca="1" si="19"/>
        <v>-</v>
      </c>
      <c r="R236" s="11" t="str">
        <f>IFERROR(VLOOKUP(G236,Paramètres!$B$6:$F$8,3,FALSE()),"")</f>
        <v>N/A</v>
      </c>
      <c r="S236" s="11" t="str">
        <f t="shared" ca="1" si="20"/>
        <v>-</v>
      </c>
      <c r="T236" s="12"/>
      <c r="U236" s="11" t="str">
        <f t="shared" si="21"/>
        <v>-</v>
      </c>
      <c r="V236" s="11" t="str">
        <f t="shared" si="22"/>
        <v>-</v>
      </c>
      <c r="W236" s="11" t="str">
        <f t="shared" si="23"/>
        <v>Ne nécessite pas de réponse</v>
      </c>
    </row>
    <row r="237" spans="1:23">
      <c r="A237" s="11">
        <v>221</v>
      </c>
      <c r="B237" s="12">
        <v>46115</v>
      </c>
      <c r="C237" s="13" t="s">
        <v>647</v>
      </c>
      <c r="D237" s="13" t="s">
        <v>230</v>
      </c>
      <c r="E237" s="13"/>
      <c r="F237" s="13" t="s">
        <v>648</v>
      </c>
      <c r="G237" s="11" t="s">
        <v>84</v>
      </c>
      <c r="H237" s="11">
        <f>IFERROR(VLOOKUP(G237,Paramètres!$B$6:$F$8,2,FALSE()),"")</f>
        <v>5</v>
      </c>
      <c r="I237" s="13" t="s">
        <v>85</v>
      </c>
      <c r="J237" s="11" t="s">
        <v>41</v>
      </c>
      <c r="K237" s="12">
        <v>46115</v>
      </c>
      <c r="L237" s="12">
        <v>46118</v>
      </c>
      <c r="M237" s="13" t="s">
        <v>56</v>
      </c>
      <c r="N237" s="14" t="s">
        <v>87</v>
      </c>
      <c r="O237" s="12">
        <v>46119</v>
      </c>
      <c r="P237" s="11">
        <f t="shared" si="18"/>
        <v>4</v>
      </c>
      <c r="Q237" s="11" t="str">
        <f t="shared" ca="1" si="19"/>
        <v>-</v>
      </c>
      <c r="R237" s="11">
        <f>IFERROR(VLOOKUP(G237,Paramètres!$B$6:$F$8,3,FALSE()),"")</f>
        <v>2</v>
      </c>
      <c r="S237" s="11" t="str">
        <f t="shared" ca="1" si="20"/>
        <v>-</v>
      </c>
      <c r="T237" s="12">
        <v>46121</v>
      </c>
      <c r="U237" s="11">
        <f t="shared" si="21"/>
        <v>2</v>
      </c>
      <c r="V237" s="11">
        <f t="shared" si="22"/>
        <v>-1</v>
      </c>
      <c r="W237" s="11" t="str">
        <f t="shared" si="23"/>
        <v>Dans les délais</v>
      </c>
    </row>
    <row r="238" spans="1:23">
      <c r="A238" s="11">
        <v>222</v>
      </c>
      <c r="B238" s="12">
        <v>46118</v>
      </c>
      <c r="C238" s="13" t="s">
        <v>649</v>
      </c>
      <c r="D238" s="13" t="s">
        <v>178</v>
      </c>
      <c r="E238" s="13"/>
      <c r="F238" s="13" t="s">
        <v>650</v>
      </c>
      <c r="G238" s="11" t="s">
        <v>39</v>
      </c>
      <c r="H238" s="11">
        <f>IFERROR(VLOOKUP(G238,Paramètres!$B$6:$F$8,2,FALSE()),"")</f>
        <v>5</v>
      </c>
      <c r="I238" s="13" t="s">
        <v>130</v>
      </c>
      <c r="J238" s="11" t="s">
        <v>48</v>
      </c>
      <c r="K238" s="12">
        <v>46118</v>
      </c>
      <c r="L238" s="12">
        <v>46119</v>
      </c>
      <c r="M238" s="13" t="s">
        <v>61</v>
      </c>
      <c r="N238" s="14" t="s">
        <v>186</v>
      </c>
      <c r="O238" s="12">
        <v>46127</v>
      </c>
      <c r="P238" s="11">
        <f t="shared" si="18"/>
        <v>9</v>
      </c>
      <c r="Q238" s="11" t="str">
        <f t="shared" ca="1" si="19"/>
        <v>-</v>
      </c>
      <c r="R238" s="11">
        <f>IFERROR(VLOOKUP(G238,Paramètres!$B$6:$F$8,3,FALSE()),"")</f>
        <v>2</v>
      </c>
      <c r="S238" s="11" t="str">
        <f t="shared" ca="1" si="20"/>
        <v>-</v>
      </c>
      <c r="T238" s="12">
        <v>46129</v>
      </c>
      <c r="U238" s="11">
        <f t="shared" si="21"/>
        <v>2</v>
      </c>
      <c r="V238" s="11">
        <f t="shared" si="22"/>
        <v>4</v>
      </c>
      <c r="W238" s="11" t="str">
        <f t="shared" si="23"/>
        <v>Hors délais</v>
      </c>
    </row>
    <row r="239" spans="1:23">
      <c r="A239" s="11">
        <v>223</v>
      </c>
      <c r="B239" s="12">
        <v>46118</v>
      </c>
      <c r="C239" s="13" t="s">
        <v>651</v>
      </c>
      <c r="D239" s="13" t="s">
        <v>104</v>
      </c>
      <c r="E239" s="13" t="s">
        <v>652</v>
      </c>
      <c r="F239" s="13" t="s">
        <v>653</v>
      </c>
      <c r="G239" s="11" t="s">
        <v>39</v>
      </c>
      <c r="H239" s="11">
        <f>IFERROR(VLOOKUP(G239,Paramètres!$B$6:$F$8,2,FALSE()),"")</f>
        <v>5</v>
      </c>
      <c r="I239" s="13" t="s">
        <v>120</v>
      </c>
      <c r="J239" s="11" t="s">
        <v>48</v>
      </c>
      <c r="K239" s="12">
        <v>46118</v>
      </c>
      <c r="L239" s="12">
        <v>46119</v>
      </c>
      <c r="M239" s="13"/>
      <c r="N239" s="14" t="s">
        <v>50</v>
      </c>
      <c r="O239" s="12">
        <v>46121</v>
      </c>
      <c r="P239" s="11">
        <f t="shared" si="18"/>
        <v>3</v>
      </c>
      <c r="Q239" s="11" t="str">
        <f t="shared" ca="1" si="19"/>
        <v>-</v>
      </c>
      <c r="R239" s="11">
        <f>IFERROR(VLOOKUP(G239,Paramètres!$B$6:$F$8,3,FALSE()),"")</f>
        <v>2</v>
      </c>
      <c r="S239" s="11" t="str">
        <f t="shared" ca="1" si="20"/>
        <v>-</v>
      </c>
      <c r="T239" s="12">
        <v>46122</v>
      </c>
      <c r="U239" s="11">
        <f t="shared" si="21"/>
        <v>1</v>
      </c>
      <c r="V239" s="11">
        <f t="shared" si="22"/>
        <v>-3</v>
      </c>
      <c r="W239" s="11" t="str">
        <f t="shared" si="23"/>
        <v>Dans les délais</v>
      </c>
    </row>
    <row r="240" spans="1:23">
      <c r="A240" s="11">
        <v>224</v>
      </c>
      <c r="B240" s="12">
        <v>46118</v>
      </c>
      <c r="C240" s="13" t="s">
        <v>654</v>
      </c>
      <c r="D240" s="13" t="s">
        <v>59</v>
      </c>
      <c r="E240" s="13" t="s">
        <v>655</v>
      </c>
      <c r="F240" s="13" t="s">
        <v>656</v>
      </c>
      <c r="G240" s="11" t="s">
        <v>39</v>
      </c>
      <c r="H240" s="11">
        <f>IFERROR(VLOOKUP(G240,Paramètres!$B$6:$F$8,2,FALSE()),"")</f>
        <v>5</v>
      </c>
      <c r="I240" s="13" t="s">
        <v>155</v>
      </c>
      <c r="J240" s="11" t="s">
        <v>48</v>
      </c>
      <c r="K240" s="12">
        <v>46118</v>
      </c>
      <c r="L240" s="12">
        <v>46119</v>
      </c>
      <c r="M240" s="13" t="s">
        <v>56</v>
      </c>
      <c r="N240" s="14" t="s">
        <v>186</v>
      </c>
      <c r="O240" s="12">
        <v>46121</v>
      </c>
      <c r="P240" s="11">
        <f t="shared" si="18"/>
        <v>3</v>
      </c>
      <c r="Q240" s="11" t="str">
        <f t="shared" ca="1" si="19"/>
        <v>-</v>
      </c>
      <c r="R240" s="11">
        <f>IFERROR(VLOOKUP(G240,Paramètres!$B$6:$F$8,3,FALSE()),"")</f>
        <v>2</v>
      </c>
      <c r="S240" s="11" t="str">
        <f t="shared" ca="1" si="20"/>
        <v>-</v>
      </c>
      <c r="T240" s="12">
        <v>46122</v>
      </c>
      <c r="U240" s="11">
        <f t="shared" si="21"/>
        <v>1</v>
      </c>
      <c r="V240" s="11">
        <f t="shared" si="22"/>
        <v>-3</v>
      </c>
      <c r="W240" s="11" t="str">
        <f t="shared" si="23"/>
        <v>Dans les délais</v>
      </c>
    </row>
    <row r="241" spans="1:23">
      <c r="A241" s="11">
        <v>225</v>
      </c>
      <c r="B241" s="12">
        <v>46118</v>
      </c>
      <c r="C241" s="13" t="s">
        <v>657</v>
      </c>
      <c r="D241" s="13" t="s">
        <v>104</v>
      </c>
      <c r="E241" s="13"/>
      <c r="F241" s="13" t="s">
        <v>658</v>
      </c>
      <c r="G241" s="11" t="s">
        <v>39</v>
      </c>
      <c r="H241" s="11">
        <f>IFERROR(VLOOKUP(G241,Paramètres!$B$6:$F$8,2,FALSE()),"")</f>
        <v>5</v>
      </c>
      <c r="I241" s="13" t="s">
        <v>168</v>
      </c>
      <c r="J241" s="11" t="s">
        <v>48</v>
      </c>
      <c r="K241" s="12">
        <v>46119</v>
      </c>
      <c r="L241" s="12">
        <v>46119</v>
      </c>
      <c r="M241" s="13" t="s">
        <v>42</v>
      </c>
      <c r="N241" s="14" t="s">
        <v>186</v>
      </c>
      <c r="O241" s="12">
        <v>46121</v>
      </c>
      <c r="P241" s="11">
        <f t="shared" si="18"/>
        <v>3</v>
      </c>
      <c r="Q241" s="11" t="str">
        <f t="shared" ca="1" si="19"/>
        <v>-</v>
      </c>
      <c r="R241" s="11">
        <f>IFERROR(VLOOKUP(G241,Paramètres!$B$6:$F$8,3,FALSE()),"")</f>
        <v>2</v>
      </c>
      <c r="S241" s="11" t="str">
        <f t="shared" ca="1" si="20"/>
        <v>-</v>
      </c>
      <c r="T241" s="12">
        <v>46125</v>
      </c>
      <c r="U241" s="11">
        <f t="shared" si="21"/>
        <v>4</v>
      </c>
      <c r="V241" s="11">
        <f t="shared" si="22"/>
        <v>0</v>
      </c>
      <c r="W241" s="11" t="str">
        <f t="shared" si="23"/>
        <v>Dans les délais</v>
      </c>
    </row>
    <row r="242" spans="1:23">
      <c r="A242" s="11">
        <v>226</v>
      </c>
      <c r="B242" s="12">
        <v>46118</v>
      </c>
      <c r="C242" s="13" t="s">
        <v>659</v>
      </c>
      <c r="D242" s="13" t="s">
        <v>89</v>
      </c>
      <c r="E242" s="13" t="s">
        <v>660</v>
      </c>
      <c r="F242" s="13" t="s">
        <v>661</v>
      </c>
      <c r="G242" s="11" t="s">
        <v>53</v>
      </c>
      <c r="H242" s="11" t="str">
        <f>IFERROR(VLOOKUP(G242,Paramètres!$B$6:$F$8,2,FALSE()),"")</f>
        <v>N/A</v>
      </c>
      <c r="I242" s="13" t="s">
        <v>65</v>
      </c>
      <c r="J242" s="11" t="s">
        <v>55</v>
      </c>
      <c r="K242" s="12">
        <v>46119</v>
      </c>
      <c r="L242" s="12">
        <v>46119</v>
      </c>
      <c r="M242" s="13"/>
      <c r="N242" s="14" t="s">
        <v>102</v>
      </c>
      <c r="O242" s="12"/>
      <c r="P242" s="11" t="str">
        <f t="shared" si="18"/>
        <v>-</v>
      </c>
      <c r="Q242" s="11" t="str">
        <f t="shared" ca="1" si="19"/>
        <v>-</v>
      </c>
      <c r="R242" s="11" t="str">
        <f>IFERROR(VLOOKUP(G242,Paramètres!$B$6:$F$8,3,FALSE()),"")</f>
        <v>N/A</v>
      </c>
      <c r="S242" s="11" t="str">
        <f t="shared" ca="1" si="20"/>
        <v>-</v>
      </c>
      <c r="T242" s="12"/>
      <c r="U242" s="11" t="str">
        <f t="shared" si="21"/>
        <v>-</v>
      </c>
      <c r="V242" s="11" t="str">
        <f t="shared" si="22"/>
        <v>-</v>
      </c>
      <c r="W242" s="11" t="str">
        <f t="shared" si="23"/>
        <v>Ne nécessite pas de réponse</v>
      </c>
    </row>
    <row r="243" spans="1:23">
      <c r="A243" s="11">
        <v>227</v>
      </c>
      <c r="B243" s="12">
        <v>46119</v>
      </c>
      <c r="C243" s="13" t="s">
        <v>662</v>
      </c>
      <c r="D243" s="13" t="s">
        <v>230</v>
      </c>
      <c r="E243" s="13"/>
      <c r="F243" s="13" t="s">
        <v>663</v>
      </c>
      <c r="G243" s="11" t="s">
        <v>39</v>
      </c>
      <c r="H243" s="11">
        <f>IFERROR(VLOOKUP(G243,Paramètres!$B$6:$F$8,2,FALSE()),"")</f>
        <v>5</v>
      </c>
      <c r="I243" s="13" t="s">
        <v>155</v>
      </c>
      <c r="J243" s="11" t="s">
        <v>48</v>
      </c>
      <c r="K243" s="12">
        <v>46120</v>
      </c>
      <c r="L243" s="12">
        <v>46121</v>
      </c>
      <c r="M243" s="13"/>
      <c r="N243" s="14" t="s">
        <v>50</v>
      </c>
      <c r="O243" s="12">
        <v>46126</v>
      </c>
      <c r="P243" s="11">
        <f t="shared" si="18"/>
        <v>7</v>
      </c>
      <c r="Q243" s="11" t="str">
        <f t="shared" ca="1" si="19"/>
        <v>-</v>
      </c>
      <c r="R243" s="11">
        <f>IFERROR(VLOOKUP(G243,Paramètres!$B$6:$F$8,3,FALSE()),"")</f>
        <v>2</v>
      </c>
      <c r="S243" s="11" t="str">
        <f t="shared" ca="1" si="20"/>
        <v>-</v>
      </c>
      <c r="T243" s="12">
        <v>46128</v>
      </c>
      <c r="U243" s="11">
        <f t="shared" si="21"/>
        <v>2</v>
      </c>
      <c r="V243" s="11">
        <f t="shared" si="22"/>
        <v>2</v>
      </c>
      <c r="W243" s="11" t="str">
        <f t="shared" si="23"/>
        <v>Hors délais</v>
      </c>
    </row>
    <row r="244" spans="1:23">
      <c r="A244" s="11">
        <v>228</v>
      </c>
      <c r="B244" s="12">
        <v>46119</v>
      </c>
      <c r="C244" s="13" t="s">
        <v>664</v>
      </c>
      <c r="D244" s="13" t="s">
        <v>89</v>
      </c>
      <c r="E244" s="13" t="s">
        <v>665</v>
      </c>
      <c r="F244" s="13" t="s">
        <v>666</v>
      </c>
      <c r="G244" s="11" t="s">
        <v>39</v>
      </c>
      <c r="H244" s="11">
        <f>IFERROR(VLOOKUP(G244,Paramètres!$B$6:$F$8,2,FALSE()),"")</f>
        <v>5</v>
      </c>
      <c r="I244" s="13" t="s">
        <v>65</v>
      </c>
      <c r="J244" s="11" t="s">
        <v>55</v>
      </c>
      <c r="K244" s="12">
        <v>46119</v>
      </c>
      <c r="L244" s="12">
        <v>46119</v>
      </c>
      <c r="M244" s="13"/>
      <c r="N244" s="14" t="s">
        <v>66</v>
      </c>
      <c r="O244" s="12">
        <v>46132</v>
      </c>
      <c r="P244" s="11">
        <f t="shared" si="18"/>
        <v>13</v>
      </c>
      <c r="Q244" s="11" t="str">
        <f t="shared" ca="1" si="19"/>
        <v>-</v>
      </c>
      <c r="R244" s="11">
        <f>IFERROR(VLOOKUP(G244,Paramètres!$B$6:$F$8,3,FALSE()),"")</f>
        <v>2</v>
      </c>
      <c r="S244" s="11" t="str">
        <f t="shared" ca="1" si="20"/>
        <v>-</v>
      </c>
      <c r="T244" s="12">
        <v>46132</v>
      </c>
      <c r="U244" s="11">
        <f t="shared" si="21"/>
        <v>0</v>
      </c>
      <c r="V244" s="11">
        <f t="shared" si="22"/>
        <v>6</v>
      </c>
      <c r="W244" s="11" t="str">
        <f t="shared" si="23"/>
        <v>Hors délais</v>
      </c>
    </row>
    <row r="245" spans="1:23">
      <c r="A245" s="11">
        <v>229</v>
      </c>
      <c r="B245" s="12">
        <v>46119</v>
      </c>
      <c r="C245" s="13" t="s">
        <v>667</v>
      </c>
      <c r="D245" s="13" t="s">
        <v>81</v>
      </c>
      <c r="E245" s="13"/>
      <c r="F245" s="13" t="s">
        <v>668</v>
      </c>
      <c r="G245" s="11" t="s">
        <v>39</v>
      </c>
      <c r="H245" s="11">
        <f>IFERROR(VLOOKUP(G245,Paramètres!$B$6:$F$8,2,FALSE()),"")</f>
        <v>5</v>
      </c>
      <c r="I245" s="13" t="s">
        <v>190</v>
      </c>
      <c r="J245" s="11" t="s">
        <v>48</v>
      </c>
      <c r="K245" s="12">
        <v>46119</v>
      </c>
      <c r="L245" s="12">
        <v>46119</v>
      </c>
      <c r="M245" s="13" t="s">
        <v>42</v>
      </c>
      <c r="N245" s="14" t="s">
        <v>186</v>
      </c>
      <c r="O245" s="12">
        <v>46122</v>
      </c>
      <c r="P245" s="11">
        <f t="shared" si="18"/>
        <v>3</v>
      </c>
      <c r="Q245" s="11" t="str">
        <f t="shared" ca="1" si="19"/>
        <v>-</v>
      </c>
      <c r="R245" s="11">
        <f>IFERROR(VLOOKUP(G245,Paramètres!$B$6:$F$8,3,FALSE()),"")</f>
        <v>2</v>
      </c>
      <c r="S245" s="11" t="str">
        <f t="shared" ca="1" si="20"/>
        <v>-</v>
      </c>
      <c r="T245" s="12">
        <v>46127</v>
      </c>
      <c r="U245" s="11">
        <f t="shared" si="21"/>
        <v>5</v>
      </c>
      <c r="V245" s="11">
        <f t="shared" si="22"/>
        <v>1</v>
      </c>
      <c r="W245" s="11" t="str">
        <f t="shared" si="23"/>
        <v>Hors délais</v>
      </c>
    </row>
    <row r="246" spans="1:23">
      <c r="A246" s="11">
        <v>230</v>
      </c>
      <c r="B246" s="12">
        <v>46119</v>
      </c>
      <c r="C246" s="13" t="s">
        <v>669</v>
      </c>
      <c r="D246" s="13" t="s">
        <v>37</v>
      </c>
      <c r="E246" s="13"/>
      <c r="F246" s="13" t="s">
        <v>670</v>
      </c>
      <c r="G246" s="11" t="s">
        <v>39</v>
      </c>
      <c r="H246" s="11">
        <f>IFERROR(VLOOKUP(G246,Paramètres!$B$6:$F$8,2,FALSE()),"")</f>
        <v>5</v>
      </c>
      <c r="I246" s="13" t="s">
        <v>232</v>
      </c>
      <c r="J246" s="11" t="s">
        <v>55</v>
      </c>
      <c r="K246" s="12">
        <v>46119</v>
      </c>
      <c r="L246" s="12">
        <v>46119</v>
      </c>
      <c r="M246" s="13"/>
      <c r="N246" s="14" t="s">
        <v>66</v>
      </c>
      <c r="O246" s="12">
        <v>46127</v>
      </c>
      <c r="P246" s="11">
        <f t="shared" si="18"/>
        <v>8</v>
      </c>
      <c r="Q246" s="11" t="str">
        <f t="shared" ca="1" si="19"/>
        <v>-</v>
      </c>
      <c r="R246" s="11">
        <f>IFERROR(VLOOKUP(G246,Paramètres!$B$6:$F$8,3,FALSE()),"")</f>
        <v>2</v>
      </c>
      <c r="S246" s="11" t="str">
        <f t="shared" ca="1" si="20"/>
        <v>-</v>
      </c>
      <c r="T246" s="12">
        <v>46134</v>
      </c>
      <c r="U246" s="11">
        <f t="shared" si="21"/>
        <v>7</v>
      </c>
      <c r="V246" s="11">
        <f t="shared" si="22"/>
        <v>8</v>
      </c>
      <c r="W246" s="11" t="str">
        <f t="shared" si="23"/>
        <v>Hors délais</v>
      </c>
    </row>
    <row r="247" spans="1:23">
      <c r="A247" s="11">
        <v>231</v>
      </c>
      <c r="B247" s="12">
        <v>46120</v>
      </c>
      <c r="C247" s="13" t="s">
        <v>671</v>
      </c>
      <c r="D247" s="13" t="s">
        <v>96</v>
      </c>
      <c r="E247" s="13" t="s">
        <v>672</v>
      </c>
      <c r="F247" s="13" t="s">
        <v>673</v>
      </c>
      <c r="G247" s="11" t="s">
        <v>39</v>
      </c>
      <c r="H247" s="11">
        <f>IFERROR(VLOOKUP(G247,Paramètres!$B$6:$F$8,2,FALSE()),"")</f>
        <v>5</v>
      </c>
      <c r="I247" s="13" t="s">
        <v>228</v>
      </c>
      <c r="J247" s="11" t="s">
        <v>55</v>
      </c>
      <c r="K247" s="12">
        <v>46120</v>
      </c>
      <c r="L247" s="12">
        <v>46120</v>
      </c>
      <c r="M247" s="13" t="s">
        <v>56</v>
      </c>
      <c r="N247" s="14" t="s">
        <v>66</v>
      </c>
      <c r="O247" s="12">
        <v>46122</v>
      </c>
      <c r="P247" s="11">
        <f t="shared" si="18"/>
        <v>2</v>
      </c>
      <c r="Q247" s="11" t="str">
        <f t="shared" ca="1" si="19"/>
        <v>-</v>
      </c>
      <c r="R247" s="11">
        <f>IFERROR(VLOOKUP(G247,Paramètres!$B$6:$F$8,3,FALSE()),"")</f>
        <v>2</v>
      </c>
      <c r="S247" s="11" t="str">
        <f t="shared" ca="1" si="20"/>
        <v>-</v>
      </c>
      <c r="T247" s="12">
        <v>46127</v>
      </c>
      <c r="U247" s="11">
        <f t="shared" si="21"/>
        <v>5</v>
      </c>
      <c r="V247" s="11">
        <f t="shared" si="22"/>
        <v>0</v>
      </c>
      <c r="W247" s="11" t="str">
        <f t="shared" si="23"/>
        <v>Dans les délais</v>
      </c>
    </row>
    <row r="248" spans="1:23">
      <c r="A248" s="11">
        <v>232</v>
      </c>
      <c r="B248" s="12">
        <v>46120</v>
      </c>
      <c r="C248" s="13" t="s">
        <v>674</v>
      </c>
      <c r="D248" s="13" t="s">
        <v>81</v>
      </c>
      <c r="E248" s="13" t="s">
        <v>675</v>
      </c>
      <c r="F248" s="13" t="s">
        <v>676</v>
      </c>
      <c r="G248" s="11" t="s">
        <v>53</v>
      </c>
      <c r="H248" s="11" t="str">
        <f>IFERROR(VLOOKUP(G248,Paramètres!$B$6:$F$8,2,FALSE()),"")</f>
        <v>N/A</v>
      </c>
      <c r="I248" s="13" t="s">
        <v>228</v>
      </c>
      <c r="J248" s="11" t="s">
        <v>55</v>
      </c>
      <c r="K248" s="12">
        <v>46121</v>
      </c>
      <c r="L248" s="12">
        <v>46121</v>
      </c>
      <c r="M248" s="13"/>
      <c r="N248" s="14" t="s">
        <v>57</v>
      </c>
      <c r="O248" s="12"/>
      <c r="P248" s="11" t="str">
        <f t="shared" si="18"/>
        <v>-</v>
      </c>
      <c r="Q248" s="11" t="str">
        <f t="shared" ca="1" si="19"/>
        <v>-</v>
      </c>
      <c r="R248" s="11" t="str">
        <f>IFERROR(VLOOKUP(G248,Paramètres!$B$6:$F$8,3,FALSE()),"")</f>
        <v>N/A</v>
      </c>
      <c r="S248" s="11" t="str">
        <f t="shared" ca="1" si="20"/>
        <v>-</v>
      </c>
      <c r="T248" s="12"/>
      <c r="U248" s="11" t="str">
        <f t="shared" si="21"/>
        <v>-</v>
      </c>
      <c r="V248" s="11" t="str">
        <f t="shared" si="22"/>
        <v>-</v>
      </c>
      <c r="W248" s="11" t="str">
        <f t="shared" si="23"/>
        <v>Ne nécessite pas de réponse</v>
      </c>
    </row>
    <row r="249" spans="1:23">
      <c r="A249" s="11">
        <v>233</v>
      </c>
      <c r="B249" s="12">
        <v>46120</v>
      </c>
      <c r="C249" s="13" t="s">
        <v>677</v>
      </c>
      <c r="D249" s="13" t="s">
        <v>63</v>
      </c>
      <c r="E249" s="13"/>
      <c r="F249" s="13" t="s">
        <v>678</v>
      </c>
      <c r="G249" s="11" t="s">
        <v>39</v>
      </c>
      <c r="H249" s="11">
        <f>IFERROR(VLOOKUP(G249,Paramètres!$B$6:$F$8,2,FALSE()),"")</f>
        <v>5</v>
      </c>
      <c r="I249" s="13" t="s">
        <v>65</v>
      </c>
      <c r="J249" s="11" t="s">
        <v>55</v>
      </c>
      <c r="K249" s="12">
        <v>46120</v>
      </c>
      <c r="L249" s="12">
        <v>46120</v>
      </c>
      <c r="M249" s="13" t="s">
        <v>61</v>
      </c>
      <c r="N249" s="14" t="s">
        <v>66</v>
      </c>
      <c r="O249" s="12">
        <v>46128</v>
      </c>
      <c r="P249" s="11">
        <f t="shared" si="18"/>
        <v>8</v>
      </c>
      <c r="Q249" s="11" t="str">
        <f t="shared" ca="1" si="19"/>
        <v>-</v>
      </c>
      <c r="R249" s="11">
        <f>IFERROR(VLOOKUP(G249,Paramètres!$B$6:$F$8,3,FALSE()),"")</f>
        <v>2</v>
      </c>
      <c r="S249" s="11" t="str">
        <f t="shared" ca="1" si="20"/>
        <v>-</v>
      </c>
      <c r="T249" s="12">
        <v>46129</v>
      </c>
      <c r="U249" s="11">
        <f t="shared" si="21"/>
        <v>1</v>
      </c>
      <c r="V249" s="11">
        <f t="shared" si="22"/>
        <v>2</v>
      </c>
      <c r="W249" s="11" t="str">
        <f t="shared" si="23"/>
        <v>Hors délais</v>
      </c>
    </row>
    <row r="250" spans="1:23">
      <c r="A250" s="11">
        <v>234</v>
      </c>
      <c r="B250" s="12">
        <v>46122</v>
      </c>
      <c r="C250" s="13" t="s">
        <v>679</v>
      </c>
      <c r="D250" s="13" t="s">
        <v>175</v>
      </c>
      <c r="E250" s="13"/>
      <c r="F250" s="13" t="s">
        <v>680</v>
      </c>
      <c r="G250" s="11" t="s">
        <v>53</v>
      </c>
      <c r="H250" s="11" t="str">
        <f>IFERROR(VLOOKUP(G250,Paramètres!$B$6:$F$8,2,FALSE()),"")</f>
        <v>N/A</v>
      </c>
      <c r="I250" s="13" t="s">
        <v>94</v>
      </c>
      <c r="J250" s="11" t="s">
        <v>55</v>
      </c>
      <c r="K250" s="12">
        <v>46122</v>
      </c>
      <c r="L250" s="12">
        <v>46122</v>
      </c>
      <c r="M250" s="13" t="s">
        <v>49</v>
      </c>
      <c r="N250" s="14" t="s">
        <v>66</v>
      </c>
      <c r="O250" s="12"/>
      <c r="P250" s="11" t="str">
        <f t="shared" si="18"/>
        <v>-</v>
      </c>
      <c r="Q250" s="11" t="str">
        <f t="shared" ca="1" si="19"/>
        <v>-</v>
      </c>
      <c r="R250" s="11" t="str">
        <f>IFERROR(VLOOKUP(G250,Paramètres!$B$6:$F$8,3,FALSE()),"")</f>
        <v>N/A</v>
      </c>
      <c r="S250" s="11" t="str">
        <f t="shared" ca="1" si="20"/>
        <v>-</v>
      </c>
      <c r="T250" s="12"/>
      <c r="U250" s="11" t="str">
        <f t="shared" si="21"/>
        <v>-</v>
      </c>
      <c r="V250" s="11" t="str">
        <f t="shared" si="22"/>
        <v>-</v>
      </c>
      <c r="W250" s="11" t="str">
        <f t="shared" si="23"/>
        <v>Ne nécessite pas de réponse</v>
      </c>
    </row>
    <row r="251" spans="1:23">
      <c r="A251" s="11">
        <v>235</v>
      </c>
      <c r="B251" s="12">
        <v>46125</v>
      </c>
      <c r="C251" s="13" t="s">
        <v>681</v>
      </c>
      <c r="D251" s="13" t="s">
        <v>175</v>
      </c>
      <c r="E251" s="13"/>
      <c r="F251" s="13" t="s">
        <v>682</v>
      </c>
      <c r="G251" s="11" t="s">
        <v>39</v>
      </c>
      <c r="H251" s="11">
        <f>IFERROR(VLOOKUP(G251,Paramètres!$B$6:$F$8,2,FALSE()),"")</f>
        <v>5</v>
      </c>
      <c r="I251" s="13" t="s">
        <v>130</v>
      </c>
      <c r="J251" s="11" t="s">
        <v>48</v>
      </c>
      <c r="K251" s="12">
        <v>46126</v>
      </c>
      <c r="L251" s="12">
        <v>46127</v>
      </c>
      <c r="M251" s="13" t="s">
        <v>61</v>
      </c>
      <c r="N251" s="14" t="s">
        <v>121</v>
      </c>
      <c r="O251" s="12">
        <v>46128</v>
      </c>
      <c r="P251" s="11">
        <f t="shared" si="18"/>
        <v>3</v>
      </c>
      <c r="Q251" s="11" t="str">
        <f t="shared" ca="1" si="19"/>
        <v>-</v>
      </c>
      <c r="R251" s="11">
        <f>IFERROR(VLOOKUP(G251,Paramètres!$B$6:$F$8,3,FALSE()),"")</f>
        <v>2</v>
      </c>
      <c r="S251" s="11" t="str">
        <f t="shared" ca="1" si="20"/>
        <v>-</v>
      </c>
      <c r="T251" s="12">
        <v>46129</v>
      </c>
      <c r="U251" s="11">
        <f t="shared" si="21"/>
        <v>1</v>
      </c>
      <c r="V251" s="11">
        <f t="shared" si="22"/>
        <v>-3</v>
      </c>
      <c r="W251" s="11" t="str">
        <f t="shared" si="23"/>
        <v>Dans les délais</v>
      </c>
    </row>
    <row r="252" spans="1:23">
      <c r="A252" s="11">
        <v>236</v>
      </c>
      <c r="B252" s="12">
        <v>46125</v>
      </c>
      <c r="C252" s="13" t="s">
        <v>683</v>
      </c>
      <c r="D252" s="13" t="s">
        <v>123</v>
      </c>
      <c r="E252" s="13" t="s">
        <v>684</v>
      </c>
      <c r="F252" s="13" t="s">
        <v>685</v>
      </c>
      <c r="G252" s="11" t="s">
        <v>39</v>
      </c>
      <c r="H252" s="11">
        <f>IFERROR(VLOOKUP(G252,Paramètres!$B$6:$F$8,2,FALSE()),"")</f>
        <v>5</v>
      </c>
      <c r="I252" s="13" t="s">
        <v>240</v>
      </c>
      <c r="J252" s="11" t="s">
        <v>55</v>
      </c>
      <c r="K252" s="12">
        <v>46125</v>
      </c>
      <c r="L252" s="12">
        <v>46126</v>
      </c>
      <c r="M252" s="13"/>
      <c r="N252" s="14" t="s">
        <v>66</v>
      </c>
      <c r="O252" s="12">
        <v>46141</v>
      </c>
      <c r="P252" s="11">
        <f t="shared" si="18"/>
        <v>16</v>
      </c>
      <c r="Q252" s="11" t="str">
        <f t="shared" ca="1" si="19"/>
        <v>-</v>
      </c>
      <c r="R252" s="11">
        <f>IFERROR(VLOOKUP(G252,Paramètres!$B$6:$F$8,3,FALSE()),"")</f>
        <v>2</v>
      </c>
      <c r="S252" s="11" t="str">
        <f t="shared" ca="1" si="20"/>
        <v>-</v>
      </c>
      <c r="T252" s="12">
        <v>46143</v>
      </c>
      <c r="U252" s="11">
        <f t="shared" si="21"/>
        <v>2</v>
      </c>
      <c r="V252" s="11">
        <f t="shared" si="22"/>
        <v>11</v>
      </c>
      <c r="W252" s="11" t="str">
        <f t="shared" si="23"/>
        <v>Hors délais</v>
      </c>
    </row>
    <row r="253" spans="1:23">
      <c r="A253" s="11">
        <v>237</v>
      </c>
      <c r="B253" s="12">
        <v>46125</v>
      </c>
      <c r="C253" s="13" t="s">
        <v>686</v>
      </c>
      <c r="D253" s="13" t="s">
        <v>248</v>
      </c>
      <c r="E253" s="13" t="s">
        <v>687</v>
      </c>
      <c r="F253" s="13" t="s">
        <v>688</v>
      </c>
      <c r="G253" s="11" t="s">
        <v>39</v>
      </c>
      <c r="H253" s="11">
        <f>IFERROR(VLOOKUP(G253,Paramètres!$B$6:$F$8,2,FALSE()),"")</f>
        <v>5</v>
      </c>
      <c r="I253" s="13" t="s">
        <v>74</v>
      </c>
      <c r="J253" s="11" t="s">
        <v>41</v>
      </c>
      <c r="K253" s="12">
        <v>46126</v>
      </c>
      <c r="L253" s="12">
        <v>46127</v>
      </c>
      <c r="M253" s="13"/>
      <c r="N253" s="14" t="s">
        <v>87</v>
      </c>
      <c r="O253" s="12">
        <v>46132</v>
      </c>
      <c r="P253" s="11">
        <f t="shared" si="18"/>
        <v>7</v>
      </c>
      <c r="Q253" s="11" t="str">
        <f t="shared" ca="1" si="19"/>
        <v>-</v>
      </c>
      <c r="R253" s="11">
        <f>IFERROR(VLOOKUP(G253,Paramètres!$B$6:$F$8,3,FALSE()),"")</f>
        <v>2</v>
      </c>
      <c r="S253" s="11" t="str">
        <f t="shared" ca="1" si="20"/>
        <v>-</v>
      </c>
      <c r="T253" s="12">
        <v>46134</v>
      </c>
      <c r="U253" s="11">
        <f t="shared" si="21"/>
        <v>2</v>
      </c>
      <c r="V253" s="11">
        <f t="shared" si="22"/>
        <v>2</v>
      </c>
      <c r="W253" s="11" t="str">
        <f t="shared" si="23"/>
        <v>Hors délais</v>
      </c>
    </row>
    <row r="254" spans="1:23" ht="28.5">
      <c r="A254" s="11">
        <v>238</v>
      </c>
      <c r="B254" s="12">
        <v>46126</v>
      </c>
      <c r="C254" s="13" t="s">
        <v>689</v>
      </c>
      <c r="D254" s="13" t="s">
        <v>145</v>
      </c>
      <c r="E254" s="13" t="s">
        <v>690</v>
      </c>
      <c r="F254" s="13" t="s">
        <v>691</v>
      </c>
      <c r="G254" s="11" t="s">
        <v>84</v>
      </c>
      <c r="H254" s="11">
        <f>IFERROR(VLOOKUP(G254,Paramètres!$B$6:$F$8,2,FALSE()),"")</f>
        <v>5</v>
      </c>
      <c r="I254" s="13" t="s">
        <v>168</v>
      </c>
      <c r="J254" s="11" t="s">
        <v>48</v>
      </c>
      <c r="K254" s="12">
        <v>46126</v>
      </c>
      <c r="L254" s="12">
        <v>46127</v>
      </c>
      <c r="M254" s="13" t="s">
        <v>75</v>
      </c>
      <c r="N254" s="14" t="s">
        <v>121</v>
      </c>
      <c r="O254" s="12">
        <v>46133</v>
      </c>
      <c r="P254" s="11">
        <f t="shared" si="18"/>
        <v>7</v>
      </c>
      <c r="Q254" s="11" t="str">
        <f t="shared" ca="1" si="19"/>
        <v>-</v>
      </c>
      <c r="R254" s="11">
        <f>IFERROR(VLOOKUP(G254,Paramètres!$B$6:$F$8,3,FALSE()),"")</f>
        <v>2</v>
      </c>
      <c r="S254" s="11" t="str">
        <f t="shared" ca="1" si="20"/>
        <v>-</v>
      </c>
      <c r="T254" s="12">
        <v>46133</v>
      </c>
      <c r="U254" s="11">
        <f t="shared" si="21"/>
        <v>0</v>
      </c>
      <c r="V254" s="11">
        <f t="shared" si="22"/>
        <v>0</v>
      </c>
      <c r="W254" s="11" t="str">
        <f t="shared" si="23"/>
        <v>Dans les délais</v>
      </c>
    </row>
    <row r="255" spans="1:23">
      <c r="A255" s="11">
        <v>239</v>
      </c>
      <c r="B255" s="12">
        <v>46126</v>
      </c>
      <c r="C255" s="13" t="s">
        <v>692</v>
      </c>
      <c r="D255" s="13" t="s">
        <v>115</v>
      </c>
      <c r="E255" s="13" t="s">
        <v>693</v>
      </c>
      <c r="F255" s="13" t="s">
        <v>694</v>
      </c>
      <c r="G255" s="11" t="s">
        <v>84</v>
      </c>
      <c r="H255" s="11">
        <f>IFERROR(VLOOKUP(G255,Paramètres!$B$6:$F$8,2,FALSE()),"")</f>
        <v>5</v>
      </c>
      <c r="I255" s="13" t="s">
        <v>40</v>
      </c>
      <c r="J255" s="11" t="s">
        <v>41</v>
      </c>
      <c r="K255" s="12">
        <v>46126</v>
      </c>
      <c r="L255" s="12">
        <v>46126</v>
      </c>
      <c r="M255" s="13" t="s">
        <v>49</v>
      </c>
      <c r="N255" s="14" t="s">
        <v>87</v>
      </c>
      <c r="O255" s="12">
        <v>46129</v>
      </c>
      <c r="P255" s="11">
        <f t="shared" si="18"/>
        <v>3</v>
      </c>
      <c r="Q255" s="11" t="str">
        <f t="shared" ca="1" si="19"/>
        <v>-</v>
      </c>
      <c r="R255" s="11">
        <f>IFERROR(VLOOKUP(G255,Paramètres!$B$6:$F$8,3,FALSE()),"")</f>
        <v>2</v>
      </c>
      <c r="S255" s="11" t="str">
        <f t="shared" ca="1" si="20"/>
        <v>-</v>
      </c>
      <c r="T255" s="12">
        <v>46133</v>
      </c>
      <c r="U255" s="11">
        <f t="shared" si="21"/>
        <v>4</v>
      </c>
      <c r="V255" s="11">
        <f t="shared" si="22"/>
        <v>0</v>
      </c>
      <c r="W255" s="11" t="str">
        <f t="shared" si="23"/>
        <v>Dans les délais</v>
      </c>
    </row>
    <row r="256" spans="1:23">
      <c r="A256" s="11">
        <v>240</v>
      </c>
      <c r="B256" s="12">
        <v>46126</v>
      </c>
      <c r="C256" s="13" t="s">
        <v>695</v>
      </c>
      <c r="D256" s="13" t="s">
        <v>81</v>
      </c>
      <c r="E256" s="13"/>
      <c r="F256" s="13" t="s">
        <v>696</v>
      </c>
      <c r="G256" s="11" t="s">
        <v>84</v>
      </c>
      <c r="H256" s="11">
        <f>IFERROR(VLOOKUP(G256,Paramètres!$B$6:$F$8,2,FALSE()),"")</f>
        <v>5</v>
      </c>
      <c r="I256" s="13" t="s">
        <v>54</v>
      </c>
      <c r="J256" s="11" t="s">
        <v>55</v>
      </c>
      <c r="K256" s="12">
        <v>46127</v>
      </c>
      <c r="L256" s="12">
        <v>46127</v>
      </c>
      <c r="M256" s="13"/>
      <c r="N256" s="14" t="s">
        <v>57</v>
      </c>
      <c r="O256" s="12">
        <v>46133</v>
      </c>
      <c r="P256" s="11">
        <f t="shared" si="18"/>
        <v>7</v>
      </c>
      <c r="Q256" s="11" t="str">
        <f t="shared" ca="1" si="19"/>
        <v>-</v>
      </c>
      <c r="R256" s="11">
        <f>IFERROR(VLOOKUP(G256,Paramètres!$B$6:$F$8,3,FALSE()),"")</f>
        <v>2</v>
      </c>
      <c r="S256" s="11" t="str">
        <f t="shared" ca="1" si="20"/>
        <v>-</v>
      </c>
      <c r="T256" s="12">
        <v>46136</v>
      </c>
      <c r="U256" s="11">
        <f t="shared" si="21"/>
        <v>3</v>
      </c>
      <c r="V256" s="11">
        <f t="shared" si="22"/>
        <v>3</v>
      </c>
      <c r="W256" s="11" t="str">
        <f t="shared" si="23"/>
        <v>Hors délais</v>
      </c>
    </row>
    <row r="257" spans="1:23">
      <c r="A257" s="11">
        <v>241</v>
      </c>
      <c r="B257" s="12">
        <v>46126</v>
      </c>
      <c r="C257" s="13" t="s">
        <v>697</v>
      </c>
      <c r="D257" s="13" t="s">
        <v>37</v>
      </c>
      <c r="E257" s="13"/>
      <c r="F257" s="13" t="s">
        <v>698</v>
      </c>
      <c r="G257" s="11" t="s">
        <v>53</v>
      </c>
      <c r="H257" s="11" t="str">
        <f>IFERROR(VLOOKUP(G257,Paramètres!$B$6:$F$8,2,FALSE()),"")</f>
        <v>N/A</v>
      </c>
      <c r="I257" s="13" t="s">
        <v>98</v>
      </c>
      <c r="J257" s="11" t="s">
        <v>41</v>
      </c>
      <c r="K257" s="12">
        <v>46126</v>
      </c>
      <c r="L257" s="12">
        <v>46127</v>
      </c>
      <c r="M257" s="13" t="s">
        <v>61</v>
      </c>
      <c r="N257" s="14" t="s">
        <v>87</v>
      </c>
      <c r="O257" s="12"/>
      <c r="P257" s="11" t="str">
        <f t="shared" si="18"/>
        <v>-</v>
      </c>
      <c r="Q257" s="11" t="str">
        <f t="shared" ca="1" si="19"/>
        <v>-</v>
      </c>
      <c r="R257" s="11" t="str">
        <f>IFERROR(VLOOKUP(G257,Paramètres!$B$6:$F$8,3,FALSE()),"")</f>
        <v>N/A</v>
      </c>
      <c r="S257" s="11" t="str">
        <f t="shared" ca="1" si="20"/>
        <v>-</v>
      </c>
      <c r="T257" s="12"/>
      <c r="U257" s="11" t="str">
        <f t="shared" si="21"/>
        <v>-</v>
      </c>
      <c r="V257" s="11" t="str">
        <f t="shared" si="22"/>
        <v>-</v>
      </c>
      <c r="W257" s="11" t="str">
        <f t="shared" si="23"/>
        <v>Ne nécessite pas de réponse</v>
      </c>
    </row>
    <row r="258" spans="1:23">
      <c r="A258" s="11">
        <v>242</v>
      </c>
      <c r="B258" s="12">
        <v>46126</v>
      </c>
      <c r="C258" s="13" t="s">
        <v>699</v>
      </c>
      <c r="D258" s="13" t="s">
        <v>68</v>
      </c>
      <c r="E258" s="13" t="s">
        <v>700</v>
      </c>
      <c r="F258" s="13" t="s">
        <v>701</v>
      </c>
      <c r="G258" s="11" t="s">
        <v>39</v>
      </c>
      <c r="H258" s="11">
        <f>IFERROR(VLOOKUP(G258,Paramètres!$B$6:$F$8,2,FALSE()),"")</f>
        <v>5</v>
      </c>
      <c r="I258" s="13" t="s">
        <v>98</v>
      </c>
      <c r="J258" s="11" t="s">
        <v>41</v>
      </c>
      <c r="K258" s="12">
        <v>46126</v>
      </c>
      <c r="L258" s="12">
        <v>46126</v>
      </c>
      <c r="M258" s="13"/>
      <c r="N258" s="14" t="s">
        <v>87</v>
      </c>
      <c r="O258" s="12">
        <v>46129</v>
      </c>
      <c r="P258" s="11">
        <f t="shared" si="18"/>
        <v>3</v>
      </c>
      <c r="Q258" s="11" t="str">
        <f t="shared" ca="1" si="19"/>
        <v>-</v>
      </c>
      <c r="R258" s="11">
        <f>IFERROR(VLOOKUP(G258,Paramètres!$B$6:$F$8,3,FALSE()),"")</f>
        <v>2</v>
      </c>
      <c r="S258" s="11" t="str">
        <f t="shared" ca="1" si="20"/>
        <v>-</v>
      </c>
      <c r="T258" s="12">
        <v>46133</v>
      </c>
      <c r="U258" s="11">
        <f t="shared" si="21"/>
        <v>4</v>
      </c>
      <c r="V258" s="11">
        <f t="shared" si="22"/>
        <v>0</v>
      </c>
      <c r="W258" s="11" t="str">
        <f t="shared" si="23"/>
        <v>Dans les délais</v>
      </c>
    </row>
    <row r="259" spans="1:23">
      <c r="A259" s="11">
        <v>243</v>
      </c>
      <c r="B259" s="12">
        <v>46126</v>
      </c>
      <c r="C259" s="13" t="s">
        <v>702</v>
      </c>
      <c r="D259" s="13" t="s">
        <v>63</v>
      </c>
      <c r="E259" s="13"/>
      <c r="F259" s="13" t="s">
        <v>703</v>
      </c>
      <c r="G259" s="11" t="s">
        <v>39</v>
      </c>
      <c r="H259" s="11">
        <f>IFERROR(VLOOKUP(G259,Paramètres!$B$6:$F$8,2,FALSE()),"")</f>
        <v>5</v>
      </c>
      <c r="I259" s="13" t="s">
        <v>168</v>
      </c>
      <c r="J259" s="11" t="s">
        <v>48</v>
      </c>
      <c r="K259" s="12">
        <v>46126</v>
      </c>
      <c r="L259" s="12">
        <v>46126</v>
      </c>
      <c r="M259" s="13" t="s">
        <v>86</v>
      </c>
      <c r="N259" s="14" t="s">
        <v>121</v>
      </c>
      <c r="O259" s="12">
        <v>46134</v>
      </c>
      <c r="P259" s="11">
        <f t="shared" si="18"/>
        <v>8</v>
      </c>
      <c r="Q259" s="11" t="str">
        <f t="shared" ca="1" si="19"/>
        <v>-</v>
      </c>
      <c r="R259" s="11">
        <f>IFERROR(VLOOKUP(G259,Paramètres!$B$6:$F$8,3,FALSE()),"")</f>
        <v>2</v>
      </c>
      <c r="S259" s="11" t="str">
        <f t="shared" ca="1" si="20"/>
        <v>-</v>
      </c>
      <c r="T259" s="12">
        <v>46139</v>
      </c>
      <c r="U259" s="11">
        <f t="shared" si="21"/>
        <v>5</v>
      </c>
      <c r="V259" s="11">
        <f t="shared" si="22"/>
        <v>6</v>
      </c>
      <c r="W259" s="11" t="str">
        <f t="shared" si="23"/>
        <v>Hors délais</v>
      </c>
    </row>
    <row r="260" spans="1:23">
      <c r="A260" s="11">
        <v>244</v>
      </c>
      <c r="B260" s="12">
        <v>46127</v>
      </c>
      <c r="C260" s="13" t="s">
        <v>704</v>
      </c>
      <c r="D260" s="13" t="s">
        <v>248</v>
      </c>
      <c r="E260" s="13"/>
      <c r="F260" s="13" t="s">
        <v>705</v>
      </c>
      <c r="G260" s="11" t="s">
        <v>53</v>
      </c>
      <c r="H260" s="11" t="str">
        <f>IFERROR(VLOOKUP(G260,Paramètres!$B$6:$F$8,2,FALSE()),"")</f>
        <v>N/A</v>
      </c>
      <c r="I260" s="13" t="s">
        <v>190</v>
      </c>
      <c r="J260" s="11" t="s">
        <v>48</v>
      </c>
      <c r="K260" s="12">
        <v>46128</v>
      </c>
      <c r="L260" s="12">
        <v>46128</v>
      </c>
      <c r="M260" s="13"/>
      <c r="N260" s="14" t="s">
        <v>50</v>
      </c>
      <c r="O260" s="12"/>
      <c r="P260" s="11" t="str">
        <f t="shared" si="18"/>
        <v>-</v>
      </c>
      <c r="Q260" s="11" t="str">
        <f t="shared" ca="1" si="19"/>
        <v>-</v>
      </c>
      <c r="R260" s="11" t="str">
        <f>IFERROR(VLOOKUP(G260,Paramètres!$B$6:$F$8,3,FALSE()),"")</f>
        <v>N/A</v>
      </c>
      <c r="S260" s="11" t="str">
        <f t="shared" ca="1" si="20"/>
        <v>-</v>
      </c>
      <c r="T260" s="12"/>
      <c r="U260" s="11" t="str">
        <f t="shared" si="21"/>
        <v>-</v>
      </c>
      <c r="V260" s="11" t="str">
        <f t="shared" si="22"/>
        <v>-</v>
      </c>
      <c r="W260" s="11" t="str">
        <f t="shared" si="23"/>
        <v>Ne nécessite pas de réponse</v>
      </c>
    </row>
    <row r="261" spans="1:23" ht="28.5">
      <c r="A261" s="11">
        <v>245</v>
      </c>
      <c r="B261" s="12">
        <v>46127</v>
      </c>
      <c r="C261" s="13" t="s">
        <v>706</v>
      </c>
      <c r="D261" s="13" t="s">
        <v>145</v>
      </c>
      <c r="E261" s="13" t="s">
        <v>707</v>
      </c>
      <c r="F261" s="13" t="s">
        <v>708</v>
      </c>
      <c r="G261" s="11" t="s">
        <v>39</v>
      </c>
      <c r="H261" s="11">
        <f>IFERROR(VLOOKUP(G261,Paramètres!$B$6:$F$8,2,FALSE()),"")</f>
        <v>5</v>
      </c>
      <c r="I261" s="13" t="s">
        <v>228</v>
      </c>
      <c r="J261" s="11" t="s">
        <v>55</v>
      </c>
      <c r="K261" s="12">
        <v>46128</v>
      </c>
      <c r="L261" s="12">
        <v>46128</v>
      </c>
      <c r="M261" s="13" t="s">
        <v>75</v>
      </c>
      <c r="N261" s="14" t="s">
        <v>57</v>
      </c>
      <c r="O261" s="12">
        <v>46133</v>
      </c>
      <c r="P261" s="11">
        <f t="shared" si="18"/>
        <v>6</v>
      </c>
      <c r="Q261" s="11" t="str">
        <f t="shared" ca="1" si="19"/>
        <v>-</v>
      </c>
      <c r="R261" s="11">
        <f>IFERROR(VLOOKUP(G261,Paramètres!$B$6:$F$8,3,FALSE()),"")</f>
        <v>2</v>
      </c>
      <c r="S261" s="11" t="str">
        <f t="shared" ca="1" si="20"/>
        <v>-</v>
      </c>
      <c r="T261" s="12">
        <v>46133</v>
      </c>
      <c r="U261" s="11">
        <f t="shared" si="21"/>
        <v>0</v>
      </c>
      <c r="V261" s="11">
        <f t="shared" si="22"/>
        <v>-1</v>
      </c>
      <c r="W261" s="11" t="str">
        <f t="shared" si="23"/>
        <v>Dans les délais</v>
      </c>
    </row>
    <row r="262" spans="1:23">
      <c r="A262" s="11">
        <v>246</v>
      </c>
      <c r="B262" s="12">
        <v>46127</v>
      </c>
      <c r="C262" s="13" t="s">
        <v>709</v>
      </c>
      <c r="D262" s="13" t="s">
        <v>123</v>
      </c>
      <c r="E262" s="13" t="s">
        <v>710</v>
      </c>
      <c r="F262" s="13" t="s">
        <v>711</v>
      </c>
      <c r="G262" s="11" t="s">
        <v>39</v>
      </c>
      <c r="H262" s="11">
        <f>IFERROR(VLOOKUP(G262,Paramètres!$B$6:$F$8,2,FALSE()),"")</f>
        <v>5</v>
      </c>
      <c r="I262" s="13" t="s">
        <v>185</v>
      </c>
      <c r="J262" s="11" t="s">
        <v>48</v>
      </c>
      <c r="K262" s="12">
        <v>46127</v>
      </c>
      <c r="L262" s="12">
        <v>46127</v>
      </c>
      <c r="M262" s="13" t="s">
        <v>49</v>
      </c>
      <c r="N262" s="14" t="s">
        <v>50</v>
      </c>
      <c r="O262" s="12">
        <v>46133</v>
      </c>
      <c r="P262" s="11">
        <f t="shared" si="18"/>
        <v>6</v>
      </c>
      <c r="Q262" s="11" t="str">
        <f t="shared" ca="1" si="19"/>
        <v>-</v>
      </c>
      <c r="R262" s="11">
        <f>IFERROR(VLOOKUP(G262,Paramètres!$B$6:$F$8,3,FALSE()),"")</f>
        <v>2</v>
      </c>
      <c r="S262" s="11" t="str">
        <f t="shared" ca="1" si="20"/>
        <v>-</v>
      </c>
      <c r="T262" s="12">
        <v>46134</v>
      </c>
      <c r="U262" s="11">
        <f t="shared" si="21"/>
        <v>1</v>
      </c>
      <c r="V262" s="11">
        <f t="shared" si="22"/>
        <v>0</v>
      </c>
      <c r="W262" s="11" t="str">
        <f t="shared" si="23"/>
        <v>Dans les délais</v>
      </c>
    </row>
    <row r="263" spans="1:23" ht="28.5">
      <c r="A263" s="11">
        <v>247</v>
      </c>
      <c r="B263" s="12">
        <v>46127</v>
      </c>
      <c r="C263" s="13" t="s">
        <v>712</v>
      </c>
      <c r="D263" s="13" t="s">
        <v>345</v>
      </c>
      <c r="E263" s="13" t="s">
        <v>713</v>
      </c>
      <c r="F263" s="13" t="s">
        <v>714</v>
      </c>
      <c r="G263" s="11" t="s">
        <v>39</v>
      </c>
      <c r="H263" s="11">
        <f>IFERROR(VLOOKUP(G263,Paramètres!$B$6:$F$8,2,FALSE()),"")</f>
        <v>5</v>
      </c>
      <c r="I263" s="13" t="s">
        <v>91</v>
      </c>
      <c r="J263" s="11" t="s">
        <v>41</v>
      </c>
      <c r="K263" s="12">
        <v>46127</v>
      </c>
      <c r="L263" s="12">
        <v>46127</v>
      </c>
      <c r="M263" s="13" t="s">
        <v>75</v>
      </c>
      <c r="N263" s="14" t="s">
        <v>76</v>
      </c>
      <c r="O263" s="12">
        <v>46134</v>
      </c>
      <c r="P263" s="11">
        <f t="shared" si="18"/>
        <v>7</v>
      </c>
      <c r="Q263" s="11" t="str">
        <f t="shared" ca="1" si="19"/>
        <v>-</v>
      </c>
      <c r="R263" s="11">
        <f>IFERROR(VLOOKUP(G263,Paramètres!$B$6:$F$8,3,FALSE()),"")</f>
        <v>2</v>
      </c>
      <c r="S263" s="11" t="str">
        <f t="shared" ca="1" si="20"/>
        <v>-</v>
      </c>
      <c r="T263" s="12">
        <v>46134</v>
      </c>
      <c r="U263" s="11">
        <f t="shared" si="21"/>
        <v>0</v>
      </c>
      <c r="V263" s="11">
        <f t="shared" si="22"/>
        <v>0</v>
      </c>
      <c r="W263" s="11" t="str">
        <f t="shared" si="23"/>
        <v>Dans les délais</v>
      </c>
    </row>
    <row r="264" spans="1:23">
      <c r="A264" s="11">
        <v>248</v>
      </c>
      <c r="B264" s="12">
        <v>46127</v>
      </c>
      <c r="C264" s="13" t="s">
        <v>715</v>
      </c>
      <c r="D264" s="13" t="s">
        <v>118</v>
      </c>
      <c r="E264" s="13" t="s">
        <v>716</v>
      </c>
      <c r="F264" s="13" t="s">
        <v>717</v>
      </c>
      <c r="G264" s="11" t="s">
        <v>39</v>
      </c>
      <c r="H264" s="11">
        <f>IFERROR(VLOOKUP(G264,Paramètres!$B$6:$F$8,2,FALSE()),"")</f>
        <v>5</v>
      </c>
      <c r="I264" s="13" t="s">
        <v>85</v>
      </c>
      <c r="J264" s="11" t="s">
        <v>41</v>
      </c>
      <c r="K264" s="12">
        <v>46127</v>
      </c>
      <c r="L264" s="12">
        <v>46128</v>
      </c>
      <c r="M264" s="13" t="s">
        <v>61</v>
      </c>
      <c r="N264" s="14" t="s">
        <v>76</v>
      </c>
      <c r="O264" s="12">
        <v>46133</v>
      </c>
      <c r="P264" s="11">
        <f t="shared" si="18"/>
        <v>6</v>
      </c>
      <c r="Q264" s="11" t="str">
        <f t="shared" ca="1" si="19"/>
        <v>-</v>
      </c>
      <c r="R264" s="11">
        <f>IFERROR(VLOOKUP(G264,Paramètres!$B$6:$F$8,3,FALSE()),"")</f>
        <v>2</v>
      </c>
      <c r="S264" s="11" t="str">
        <f t="shared" ca="1" si="20"/>
        <v>-</v>
      </c>
      <c r="T264" s="12">
        <v>46133</v>
      </c>
      <c r="U264" s="11">
        <f t="shared" si="21"/>
        <v>0</v>
      </c>
      <c r="V264" s="11">
        <f t="shared" si="22"/>
        <v>-1</v>
      </c>
      <c r="W264" s="11" t="str">
        <f t="shared" si="23"/>
        <v>Dans les délais</v>
      </c>
    </row>
    <row r="265" spans="1:23">
      <c r="A265" s="11">
        <v>249</v>
      </c>
      <c r="B265" s="12">
        <v>46128</v>
      </c>
      <c r="C265" s="13" t="s">
        <v>718</v>
      </c>
      <c r="D265" s="13" t="s">
        <v>68</v>
      </c>
      <c r="E265" s="13"/>
      <c r="F265" s="13" t="s">
        <v>719</v>
      </c>
      <c r="G265" s="11" t="s">
        <v>39</v>
      </c>
      <c r="H265" s="11">
        <f>IFERROR(VLOOKUP(G265,Paramètres!$B$6:$F$8,2,FALSE()),"")</f>
        <v>5</v>
      </c>
      <c r="I265" s="13" t="s">
        <v>232</v>
      </c>
      <c r="J265" s="11" t="s">
        <v>55</v>
      </c>
      <c r="K265" s="12">
        <v>46129</v>
      </c>
      <c r="L265" s="12">
        <v>46129</v>
      </c>
      <c r="M265" s="13" t="s">
        <v>42</v>
      </c>
      <c r="N265" s="14" t="s">
        <v>102</v>
      </c>
      <c r="O265" s="12">
        <v>46132</v>
      </c>
      <c r="P265" s="11">
        <f t="shared" si="18"/>
        <v>4</v>
      </c>
      <c r="Q265" s="11" t="str">
        <f t="shared" ca="1" si="19"/>
        <v>-</v>
      </c>
      <c r="R265" s="11">
        <f>IFERROR(VLOOKUP(G265,Paramètres!$B$6:$F$8,3,FALSE()),"")</f>
        <v>2</v>
      </c>
      <c r="S265" s="11" t="str">
        <f t="shared" ca="1" si="20"/>
        <v>-</v>
      </c>
      <c r="T265" s="12">
        <v>46133</v>
      </c>
      <c r="U265" s="11">
        <f t="shared" si="21"/>
        <v>1</v>
      </c>
      <c r="V265" s="11">
        <f t="shared" si="22"/>
        <v>-2</v>
      </c>
      <c r="W265" s="11" t="str">
        <f t="shared" si="23"/>
        <v>Dans les délais</v>
      </c>
    </row>
    <row r="266" spans="1:23">
      <c r="A266" s="11">
        <v>250</v>
      </c>
      <c r="B266" s="12">
        <v>46128</v>
      </c>
      <c r="C266" s="13" t="s">
        <v>720</v>
      </c>
      <c r="D266" s="13" t="s">
        <v>81</v>
      </c>
      <c r="E266" s="13"/>
      <c r="F266" s="13" t="s">
        <v>721</v>
      </c>
      <c r="G266" s="11" t="s">
        <v>53</v>
      </c>
      <c r="H266" s="11" t="str">
        <f>IFERROR(VLOOKUP(G266,Paramètres!$B$6:$F$8,2,FALSE()),"")</f>
        <v>N/A</v>
      </c>
      <c r="I266" s="13" t="s">
        <v>54</v>
      </c>
      <c r="J266" s="11" t="s">
        <v>55</v>
      </c>
      <c r="K266" s="12">
        <v>46128</v>
      </c>
      <c r="L266" s="12">
        <v>46128</v>
      </c>
      <c r="M266" s="13"/>
      <c r="N266" s="14" t="s">
        <v>57</v>
      </c>
      <c r="O266" s="12"/>
      <c r="P266" s="11" t="str">
        <f t="shared" si="18"/>
        <v>-</v>
      </c>
      <c r="Q266" s="11" t="str">
        <f t="shared" ca="1" si="19"/>
        <v>-</v>
      </c>
      <c r="R266" s="11" t="str">
        <f>IFERROR(VLOOKUP(G266,Paramètres!$B$6:$F$8,3,FALSE()),"")</f>
        <v>N/A</v>
      </c>
      <c r="S266" s="11" t="str">
        <f t="shared" ca="1" si="20"/>
        <v>-</v>
      </c>
      <c r="T266" s="12"/>
      <c r="U266" s="11" t="str">
        <f t="shared" si="21"/>
        <v>-</v>
      </c>
      <c r="V266" s="11" t="str">
        <f t="shared" si="22"/>
        <v>-</v>
      </c>
      <c r="W266" s="11" t="str">
        <f t="shared" si="23"/>
        <v>Ne nécessite pas de réponse</v>
      </c>
    </row>
    <row r="267" spans="1:23">
      <c r="A267" s="11">
        <v>251</v>
      </c>
      <c r="B267" s="12">
        <v>46129</v>
      </c>
      <c r="C267" s="13" t="s">
        <v>722</v>
      </c>
      <c r="D267" s="13" t="s">
        <v>63</v>
      </c>
      <c r="E267" s="13"/>
      <c r="F267" s="13" t="s">
        <v>723</v>
      </c>
      <c r="G267" s="11" t="s">
        <v>39</v>
      </c>
      <c r="H267" s="11">
        <f>IFERROR(VLOOKUP(G267,Paramètres!$B$6:$F$8,2,FALSE()),"")</f>
        <v>5</v>
      </c>
      <c r="I267" s="13" t="s">
        <v>228</v>
      </c>
      <c r="J267" s="11" t="s">
        <v>55</v>
      </c>
      <c r="K267" s="12">
        <v>46129</v>
      </c>
      <c r="L267" s="12">
        <v>46129</v>
      </c>
      <c r="M267" s="13"/>
      <c r="N267" s="14" t="s">
        <v>57</v>
      </c>
      <c r="O267" s="12">
        <v>46140</v>
      </c>
      <c r="P267" s="11">
        <f t="shared" si="18"/>
        <v>11</v>
      </c>
      <c r="Q267" s="11" t="str">
        <f t="shared" ca="1" si="19"/>
        <v>-</v>
      </c>
      <c r="R267" s="11">
        <f>IFERROR(VLOOKUP(G267,Paramètres!$B$6:$F$8,3,FALSE()),"")</f>
        <v>2</v>
      </c>
      <c r="S267" s="11" t="str">
        <f t="shared" ca="1" si="20"/>
        <v>-</v>
      </c>
      <c r="T267" s="12">
        <v>46147</v>
      </c>
      <c r="U267" s="11">
        <f t="shared" si="21"/>
        <v>7</v>
      </c>
      <c r="V267" s="11">
        <f t="shared" si="22"/>
        <v>11</v>
      </c>
      <c r="W267" s="11" t="str">
        <f t="shared" si="23"/>
        <v>Hors délais</v>
      </c>
    </row>
    <row r="268" spans="1:23" ht="28.5">
      <c r="A268" s="11">
        <v>252</v>
      </c>
      <c r="B268" s="12">
        <v>46129</v>
      </c>
      <c r="C268" s="13" t="s">
        <v>724</v>
      </c>
      <c r="D268" s="13" t="s">
        <v>45</v>
      </c>
      <c r="E268" s="13"/>
      <c r="F268" s="13" t="s">
        <v>725</v>
      </c>
      <c r="G268" s="11" t="s">
        <v>39</v>
      </c>
      <c r="H268" s="11">
        <f>IFERROR(VLOOKUP(G268,Paramètres!$B$6:$F$8,2,FALSE()),"")</f>
        <v>5</v>
      </c>
      <c r="I268" s="13" t="s">
        <v>65</v>
      </c>
      <c r="J268" s="11" t="s">
        <v>55</v>
      </c>
      <c r="K268" s="12">
        <v>46129</v>
      </c>
      <c r="L268" s="12">
        <v>46132</v>
      </c>
      <c r="M268" s="13" t="s">
        <v>75</v>
      </c>
      <c r="N268" s="14" t="s">
        <v>66</v>
      </c>
      <c r="O268" s="12">
        <v>46134</v>
      </c>
      <c r="P268" s="11">
        <f t="shared" si="18"/>
        <v>5</v>
      </c>
      <c r="Q268" s="11" t="str">
        <f t="shared" ca="1" si="19"/>
        <v>-</v>
      </c>
      <c r="R268" s="11">
        <f>IFERROR(VLOOKUP(G268,Paramètres!$B$6:$F$8,3,FALSE()),"")</f>
        <v>2</v>
      </c>
      <c r="S268" s="11" t="str">
        <f t="shared" ca="1" si="20"/>
        <v>-</v>
      </c>
      <c r="T268" s="12">
        <v>46139</v>
      </c>
      <c r="U268" s="11">
        <f t="shared" si="21"/>
        <v>5</v>
      </c>
      <c r="V268" s="11">
        <f t="shared" si="22"/>
        <v>3</v>
      </c>
      <c r="W268" s="11" t="str">
        <f t="shared" si="23"/>
        <v>Hors délais</v>
      </c>
    </row>
    <row r="269" spans="1:23">
      <c r="A269" s="11">
        <v>253</v>
      </c>
      <c r="B269" s="12">
        <v>46129</v>
      </c>
      <c r="C269" s="13" t="s">
        <v>726</v>
      </c>
      <c r="D269" s="13" t="s">
        <v>178</v>
      </c>
      <c r="E269" s="13"/>
      <c r="F269" s="13" t="s">
        <v>727</v>
      </c>
      <c r="G269" s="11" t="s">
        <v>53</v>
      </c>
      <c r="H269" s="11" t="str">
        <f>IFERROR(VLOOKUP(G269,Paramètres!$B$6:$F$8,2,FALSE()),"")</f>
        <v>N/A</v>
      </c>
      <c r="I269" s="13" t="s">
        <v>228</v>
      </c>
      <c r="J269" s="11" t="s">
        <v>55</v>
      </c>
      <c r="K269" s="12">
        <v>46129</v>
      </c>
      <c r="L269" s="12">
        <v>46132</v>
      </c>
      <c r="M269" s="13" t="s">
        <v>42</v>
      </c>
      <c r="N269" s="14" t="s">
        <v>57</v>
      </c>
      <c r="O269" s="12"/>
      <c r="P269" s="11" t="str">
        <f t="shared" si="18"/>
        <v>-</v>
      </c>
      <c r="Q269" s="11" t="str">
        <f t="shared" ca="1" si="19"/>
        <v>-</v>
      </c>
      <c r="R269" s="11" t="str">
        <f>IFERROR(VLOOKUP(G269,Paramètres!$B$6:$F$8,3,FALSE()),"")</f>
        <v>N/A</v>
      </c>
      <c r="S269" s="11" t="str">
        <f t="shared" ca="1" si="20"/>
        <v>-</v>
      </c>
      <c r="T269" s="12"/>
      <c r="U269" s="11" t="str">
        <f t="shared" si="21"/>
        <v>-</v>
      </c>
      <c r="V269" s="11" t="str">
        <f t="shared" si="22"/>
        <v>-</v>
      </c>
      <c r="W269" s="11" t="str">
        <f t="shared" si="23"/>
        <v>Ne nécessite pas de réponse</v>
      </c>
    </row>
    <row r="270" spans="1:23">
      <c r="A270" s="11">
        <v>254</v>
      </c>
      <c r="B270" s="12">
        <v>46129</v>
      </c>
      <c r="C270" s="13" t="s">
        <v>728</v>
      </c>
      <c r="D270" s="13" t="s">
        <v>123</v>
      </c>
      <c r="E270" s="13" t="s">
        <v>729</v>
      </c>
      <c r="F270" s="13" t="s">
        <v>730</v>
      </c>
      <c r="G270" s="11" t="s">
        <v>39</v>
      </c>
      <c r="H270" s="11">
        <f>IFERROR(VLOOKUP(G270,Paramètres!$B$6:$F$8,2,FALSE()),"")</f>
        <v>5</v>
      </c>
      <c r="I270" s="13" t="s">
        <v>232</v>
      </c>
      <c r="J270" s="11" t="s">
        <v>55</v>
      </c>
      <c r="K270" s="12">
        <v>46132</v>
      </c>
      <c r="L270" s="12">
        <v>46133</v>
      </c>
      <c r="M270" s="13" t="s">
        <v>86</v>
      </c>
      <c r="N270" s="14" t="s">
        <v>66</v>
      </c>
      <c r="O270" s="12">
        <v>46135</v>
      </c>
      <c r="P270" s="11">
        <f t="shared" si="18"/>
        <v>6</v>
      </c>
      <c r="Q270" s="11" t="str">
        <f t="shared" ca="1" si="19"/>
        <v>-</v>
      </c>
      <c r="R270" s="11">
        <f>IFERROR(VLOOKUP(G270,Paramètres!$B$6:$F$8,3,FALSE()),"")</f>
        <v>2</v>
      </c>
      <c r="S270" s="11" t="str">
        <f t="shared" ca="1" si="20"/>
        <v>-</v>
      </c>
      <c r="T270" s="12">
        <v>46139</v>
      </c>
      <c r="U270" s="11">
        <f t="shared" si="21"/>
        <v>4</v>
      </c>
      <c r="V270" s="11">
        <f t="shared" si="22"/>
        <v>3</v>
      </c>
      <c r="W270" s="11" t="str">
        <f t="shared" si="23"/>
        <v>Hors délais</v>
      </c>
    </row>
    <row r="271" spans="1:23">
      <c r="A271" s="11">
        <v>255</v>
      </c>
      <c r="B271" s="12">
        <v>46129</v>
      </c>
      <c r="C271" s="13" t="s">
        <v>731</v>
      </c>
      <c r="D271" s="13" t="s">
        <v>59</v>
      </c>
      <c r="E271" s="13" t="s">
        <v>732</v>
      </c>
      <c r="F271" s="13" t="s">
        <v>733</v>
      </c>
      <c r="G271" s="11" t="s">
        <v>39</v>
      </c>
      <c r="H271" s="11">
        <f>IFERROR(VLOOKUP(G271,Paramètres!$B$6:$F$8,2,FALSE()),"")</f>
        <v>5</v>
      </c>
      <c r="I271" s="13" t="s">
        <v>155</v>
      </c>
      <c r="J271" s="11" t="s">
        <v>48</v>
      </c>
      <c r="K271" s="12">
        <v>46129</v>
      </c>
      <c r="L271" s="12">
        <v>46129</v>
      </c>
      <c r="M271" s="13" t="s">
        <v>56</v>
      </c>
      <c r="N271" s="14" t="s">
        <v>121</v>
      </c>
      <c r="O271" s="12">
        <v>46140</v>
      </c>
      <c r="P271" s="11">
        <f t="shared" si="18"/>
        <v>11</v>
      </c>
      <c r="Q271" s="11" t="str">
        <f t="shared" ca="1" si="19"/>
        <v>-</v>
      </c>
      <c r="R271" s="11">
        <f>IFERROR(VLOOKUP(G271,Paramètres!$B$6:$F$8,3,FALSE()),"")</f>
        <v>2</v>
      </c>
      <c r="S271" s="11" t="str">
        <f t="shared" ca="1" si="20"/>
        <v>-</v>
      </c>
      <c r="T271" s="12">
        <v>46143</v>
      </c>
      <c r="U271" s="11">
        <f t="shared" si="21"/>
        <v>3</v>
      </c>
      <c r="V271" s="11">
        <f t="shared" si="22"/>
        <v>7</v>
      </c>
      <c r="W271" s="11" t="str">
        <f t="shared" si="23"/>
        <v>Hors délais</v>
      </c>
    </row>
    <row r="272" spans="1:23" ht="28.5">
      <c r="A272" s="11">
        <v>256</v>
      </c>
      <c r="B272" s="12">
        <v>46129</v>
      </c>
      <c r="C272" s="13" t="s">
        <v>734</v>
      </c>
      <c r="D272" s="13" t="s">
        <v>145</v>
      </c>
      <c r="E272" s="13"/>
      <c r="F272" s="13" t="s">
        <v>735</v>
      </c>
      <c r="G272" s="11" t="s">
        <v>53</v>
      </c>
      <c r="H272" s="11" t="str">
        <f>IFERROR(VLOOKUP(G272,Paramètres!$B$6:$F$8,2,FALSE()),"")</f>
        <v>N/A</v>
      </c>
      <c r="I272" s="13" t="s">
        <v>130</v>
      </c>
      <c r="J272" s="11" t="s">
        <v>48</v>
      </c>
      <c r="K272" s="12">
        <v>46129</v>
      </c>
      <c r="L272" s="12">
        <v>46129</v>
      </c>
      <c r="M272" s="13" t="s">
        <v>75</v>
      </c>
      <c r="N272" s="14" t="s">
        <v>121</v>
      </c>
      <c r="O272" s="12"/>
      <c r="P272" s="11" t="str">
        <f t="shared" si="18"/>
        <v>-</v>
      </c>
      <c r="Q272" s="11" t="str">
        <f t="shared" ca="1" si="19"/>
        <v>-</v>
      </c>
      <c r="R272" s="11" t="str">
        <f>IFERROR(VLOOKUP(G272,Paramètres!$B$6:$F$8,3,FALSE()),"")</f>
        <v>N/A</v>
      </c>
      <c r="S272" s="11" t="str">
        <f t="shared" ca="1" si="20"/>
        <v>-</v>
      </c>
      <c r="T272" s="12"/>
      <c r="U272" s="11" t="str">
        <f t="shared" si="21"/>
        <v>-</v>
      </c>
      <c r="V272" s="11" t="str">
        <f t="shared" si="22"/>
        <v>-</v>
      </c>
      <c r="W272" s="11" t="str">
        <f t="shared" si="23"/>
        <v>Ne nécessite pas de réponse</v>
      </c>
    </row>
    <row r="273" spans="1:23">
      <c r="A273" s="11">
        <v>257</v>
      </c>
      <c r="B273" s="12">
        <v>46129</v>
      </c>
      <c r="C273" s="13" t="s">
        <v>736</v>
      </c>
      <c r="D273" s="13" t="s">
        <v>123</v>
      </c>
      <c r="E273" s="13"/>
      <c r="F273" s="13" t="s">
        <v>737</v>
      </c>
      <c r="G273" s="11" t="s">
        <v>39</v>
      </c>
      <c r="H273" s="11">
        <f>IFERROR(VLOOKUP(G273,Paramètres!$B$6:$F$8,2,FALSE()),"")</f>
        <v>5</v>
      </c>
      <c r="I273" s="13" t="s">
        <v>40</v>
      </c>
      <c r="J273" s="11" t="s">
        <v>41</v>
      </c>
      <c r="K273" s="12">
        <v>46132</v>
      </c>
      <c r="L273" s="12">
        <v>46132</v>
      </c>
      <c r="M273" s="13" t="s">
        <v>86</v>
      </c>
      <c r="N273" s="14" t="s">
        <v>76</v>
      </c>
      <c r="O273" s="12">
        <v>46136</v>
      </c>
      <c r="P273" s="11">
        <f t="shared" ref="P273:P336" si="24">IF(G273="Ne nécessite pas de réponse","-",IF(AND(ISNUMBER(B273),ISNUMBER(O273)),O273-B273,""))</f>
        <v>7</v>
      </c>
      <c r="Q273" s="11" t="str">
        <f t="shared" ref="Q273:Q336" ca="1" si="25">IF(G273="Ne nécessite pas de réponse","-",IF(O273&lt;&gt;"","-",IF(OR(B273="",H273="",NOT(ISNUMBER(H273)),H273=0),"",IF((TODAY()-B273)/H273&lt;=0.5,"VERT",IF((TODAY()-B273)/H273&lt;=0.8,"JAUNE","ROUGE")))))</f>
        <v>-</v>
      </c>
      <c r="R273" s="11">
        <f>IFERROR(VLOOKUP(G273,Paramètres!$B$6:$F$8,3,FALSE()),"")</f>
        <v>2</v>
      </c>
      <c r="S273" s="11" t="str">
        <f t="shared" ref="S273:S336" ca="1" si="26">IF(G273="Ne nécessite pas de réponse","-",IF(O273="","",IF(T273&lt;&gt;"","-",IF(OR(R273="",NOT(ISNUMBER(R273)),R273=0),"",IF((TODAY()-O273)/R273&lt;=0.5,"VERT",IF((TODAY()-O273)/R273&lt;=0.8,"JAUNE","ROUGE"))))))</f>
        <v>-</v>
      </c>
      <c r="T273" s="12">
        <v>46139</v>
      </c>
      <c r="U273" s="11">
        <f t="shared" ref="U273:U336" si="27">IF(G273="Ne nécessite pas de réponse","-",IF(AND(ISNUMBER(O273),ISNUMBER(T273)),T273-O273,""))</f>
        <v>3</v>
      </c>
      <c r="V273" s="11">
        <f t="shared" ref="V273:V336" si="28">IF(G273="Ne nécessite pas de réponse","-",IF(AND(ISNUMBER(T273),ISNUMBER(B273),ISNUMBER(H273),ISNUMBER(R273)),T273-(B273+H273+R273),""))</f>
        <v>3</v>
      </c>
      <c r="W273" s="11" t="str">
        <f t="shared" ref="W273:W336" si="29">IF(G273="Ne nécessite pas de réponse","Ne nécessite pas de réponse",IF(T273="","",IF(V273&lt;=0,"Dans les délais","Hors délais")))</f>
        <v>Hors délais</v>
      </c>
    </row>
    <row r="274" spans="1:23">
      <c r="A274" s="11">
        <v>258</v>
      </c>
      <c r="B274" s="12">
        <v>46129</v>
      </c>
      <c r="C274" s="13" t="s">
        <v>738</v>
      </c>
      <c r="D274" s="13" t="s">
        <v>104</v>
      </c>
      <c r="E274" s="13" t="s">
        <v>739</v>
      </c>
      <c r="F274" s="13" t="s">
        <v>740</v>
      </c>
      <c r="G274" s="11" t="s">
        <v>39</v>
      </c>
      <c r="H274" s="11">
        <f>IFERROR(VLOOKUP(G274,Paramètres!$B$6:$F$8,2,FALSE()),"")</f>
        <v>5</v>
      </c>
      <c r="I274" s="13" t="s">
        <v>85</v>
      </c>
      <c r="J274" s="11" t="s">
        <v>41</v>
      </c>
      <c r="K274" s="12">
        <v>46129</v>
      </c>
      <c r="L274" s="12">
        <v>46132</v>
      </c>
      <c r="M274" s="13" t="s">
        <v>42</v>
      </c>
      <c r="N274" s="14" t="s">
        <v>87</v>
      </c>
      <c r="O274" s="12">
        <v>46136</v>
      </c>
      <c r="P274" s="11">
        <f t="shared" si="24"/>
        <v>7</v>
      </c>
      <c r="Q274" s="11" t="str">
        <f t="shared" ca="1" si="25"/>
        <v>-</v>
      </c>
      <c r="R274" s="11">
        <f>IFERROR(VLOOKUP(G274,Paramètres!$B$6:$F$8,3,FALSE()),"")</f>
        <v>2</v>
      </c>
      <c r="S274" s="11" t="str">
        <f t="shared" ca="1" si="26"/>
        <v>-</v>
      </c>
      <c r="T274" s="12">
        <v>46141</v>
      </c>
      <c r="U274" s="11">
        <f t="shared" si="27"/>
        <v>5</v>
      </c>
      <c r="V274" s="11">
        <f t="shared" si="28"/>
        <v>5</v>
      </c>
      <c r="W274" s="11" t="str">
        <f t="shared" si="29"/>
        <v>Hors délais</v>
      </c>
    </row>
    <row r="275" spans="1:23">
      <c r="A275" s="11">
        <v>259</v>
      </c>
      <c r="B275" s="12">
        <v>46129</v>
      </c>
      <c r="C275" s="13" t="s">
        <v>741</v>
      </c>
      <c r="D275" s="13" t="s">
        <v>230</v>
      </c>
      <c r="E275" s="13"/>
      <c r="F275" s="13" t="s">
        <v>742</v>
      </c>
      <c r="G275" s="11" t="s">
        <v>39</v>
      </c>
      <c r="H275" s="11">
        <f>IFERROR(VLOOKUP(G275,Paramètres!$B$6:$F$8,2,FALSE()),"")</f>
        <v>5</v>
      </c>
      <c r="I275" s="13" t="s">
        <v>65</v>
      </c>
      <c r="J275" s="11" t="s">
        <v>55</v>
      </c>
      <c r="K275" s="12">
        <v>46129</v>
      </c>
      <c r="L275" s="12">
        <v>46129</v>
      </c>
      <c r="M275" s="13"/>
      <c r="N275" s="14" t="s">
        <v>66</v>
      </c>
      <c r="O275" s="12">
        <v>46139</v>
      </c>
      <c r="P275" s="11">
        <f t="shared" si="24"/>
        <v>10</v>
      </c>
      <c r="Q275" s="11" t="str">
        <f t="shared" ca="1" si="25"/>
        <v>-</v>
      </c>
      <c r="R275" s="11">
        <f>IFERROR(VLOOKUP(G275,Paramètres!$B$6:$F$8,3,FALSE()),"")</f>
        <v>2</v>
      </c>
      <c r="S275" s="11" t="str">
        <f t="shared" ca="1" si="26"/>
        <v>-</v>
      </c>
      <c r="T275" s="12">
        <v>46140</v>
      </c>
      <c r="U275" s="11">
        <f t="shared" si="27"/>
        <v>1</v>
      </c>
      <c r="V275" s="11">
        <f t="shared" si="28"/>
        <v>4</v>
      </c>
      <c r="W275" s="11" t="str">
        <f t="shared" si="29"/>
        <v>Hors délais</v>
      </c>
    </row>
    <row r="276" spans="1:23">
      <c r="A276" s="11">
        <v>260</v>
      </c>
      <c r="B276" s="12">
        <v>46132</v>
      </c>
      <c r="C276" s="13" t="s">
        <v>743</v>
      </c>
      <c r="D276" s="13" t="s">
        <v>81</v>
      </c>
      <c r="E276" s="13" t="s">
        <v>744</v>
      </c>
      <c r="F276" s="13" t="s">
        <v>745</v>
      </c>
      <c r="G276" s="11" t="s">
        <v>39</v>
      </c>
      <c r="H276" s="11">
        <f>IFERROR(VLOOKUP(G276,Paramètres!$B$6:$F$8,2,FALSE()),"")</f>
        <v>5</v>
      </c>
      <c r="I276" s="13" t="s">
        <v>40</v>
      </c>
      <c r="J276" s="11" t="s">
        <v>41</v>
      </c>
      <c r="K276" s="12">
        <v>46132</v>
      </c>
      <c r="L276" s="12">
        <v>46132</v>
      </c>
      <c r="M276" s="13" t="s">
        <v>56</v>
      </c>
      <c r="N276" s="14" t="s">
        <v>87</v>
      </c>
      <c r="O276" s="12">
        <v>46135</v>
      </c>
      <c r="P276" s="11">
        <f t="shared" si="24"/>
        <v>3</v>
      </c>
      <c r="Q276" s="11" t="str">
        <f t="shared" ca="1" si="25"/>
        <v>-</v>
      </c>
      <c r="R276" s="11">
        <f>IFERROR(VLOOKUP(G276,Paramètres!$B$6:$F$8,3,FALSE()),"")</f>
        <v>2</v>
      </c>
      <c r="S276" s="11" t="str">
        <f t="shared" ca="1" si="26"/>
        <v>-</v>
      </c>
      <c r="T276" s="12">
        <v>46142</v>
      </c>
      <c r="U276" s="11">
        <f t="shared" si="27"/>
        <v>7</v>
      </c>
      <c r="V276" s="11">
        <f t="shared" si="28"/>
        <v>3</v>
      </c>
      <c r="W276" s="11" t="str">
        <f t="shared" si="29"/>
        <v>Hors délais</v>
      </c>
    </row>
    <row r="277" spans="1:23">
      <c r="A277" s="11">
        <v>261</v>
      </c>
      <c r="B277" s="12">
        <v>46132</v>
      </c>
      <c r="C277" s="13" t="s">
        <v>746</v>
      </c>
      <c r="D277" s="13" t="s">
        <v>104</v>
      </c>
      <c r="E277" s="13" t="s">
        <v>747</v>
      </c>
      <c r="F277" s="13" t="s">
        <v>748</v>
      </c>
      <c r="G277" s="11" t="s">
        <v>53</v>
      </c>
      <c r="H277" s="11" t="str">
        <f>IFERROR(VLOOKUP(G277,Paramètres!$B$6:$F$8,2,FALSE()),"")</f>
        <v>N/A</v>
      </c>
      <c r="I277" s="13" t="s">
        <v>190</v>
      </c>
      <c r="J277" s="11" t="s">
        <v>48</v>
      </c>
      <c r="K277" s="12">
        <v>46132</v>
      </c>
      <c r="L277" s="12">
        <v>46132</v>
      </c>
      <c r="M277" s="13" t="s">
        <v>56</v>
      </c>
      <c r="N277" s="14" t="s">
        <v>121</v>
      </c>
      <c r="O277" s="12"/>
      <c r="P277" s="11" t="str">
        <f t="shared" si="24"/>
        <v>-</v>
      </c>
      <c r="Q277" s="11" t="str">
        <f t="shared" ca="1" si="25"/>
        <v>-</v>
      </c>
      <c r="R277" s="11" t="str">
        <f>IFERROR(VLOOKUP(G277,Paramètres!$B$6:$F$8,3,FALSE()),"")</f>
        <v>N/A</v>
      </c>
      <c r="S277" s="11" t="str">
        <f t="shared" ca="1" si="26"/>
        <v>-</v>
      </c>
      <c r="T277" s="12"/>
      <c r="U277" s="11" t="str">
        <f t="shared" si="27"/>
        <v>-</v>
      </c>
      <c r="V277" s="11" t="str">
        <f t="shared" si="28"/>
        <v>-</v>
      </c>
      <c r="W277" s="11" t="str">
        <f t="shared" si="29"/>
        <v>Ne nécessite pas de réponse</v>
      </c>
    </row>
    <row r="278" spans="1:23">
      <c r="A278" s="11">
        <v>262</v>
      </c>
      <c r="B278" s="12">
        <v>46132</v>
      </c>
      <c r="C278" s="13" t="s">
        <v>749</v>
      </c>
      <c r="D278" s="13" t="s">
        <v>175</v>
      </c>
      <c r="E278" s="13" t="s">
        <v>750</v>
      </c>
      <c r="F278" s="13" t="s">
        <v>751</v>
      </c>
      <c r="G278" s="11" t="s">
        <v>39</v>
      </c>
      <c r="H278" s="11">
        <f>IFERROR(VLOOKUP(G278,Paramètres!$B$6:$F$8,2,FALSE()),"")</f>
        <v>5</v>
      </c>
      <c r="I278" s="13" t="s">
        <v>47</v>
      </c>
      <c r="J278" s="11" t="s">
        <v>48</v>
      </c>
      <c r="K278" s="12">
        <v>46132</v>
      </c>
      <c r="L278" s="12">
        <v>46132</v>
      </c>
      <c r="M278" s="13"/>
      <c r="N278" s="14" t="s">
        <v>50</v>
      </c>
      <c r="O278" s="12">
        <v>46136</v>
      </c>
      <c r="P278" s="11">
        <f t="shared" si="24"/>
        <v>4</v>
      </c>
      <c r="Q278" s="11" t="str">
        <f t="shared" ca="1" si="25"/>
        <v>-</v>
      </c>
      <c r="R278" s="11">
        <f>IFERROR(VLOOKUP(G278,Paramètres!$B$6:$F$8,3,FALSE()),"")</f>
        <v>2</v>
      </c>
      <c r="S278" s="11" t="str">
        <f t="shared" ca="1" si="26"/>
        <v>-</v>
      </c>
      <c r="T278" s="12">
        <v>46140</v>
      </c>
      <c r="U278" s="11">
        <f t="shared" si="27"/>
        <v>4</v>
      </c>
      <c r="V278" s="11">
        <f t="shared" si="28"/>
        <v>1</v>
      </c>
      <c r="W278" s="11" t="str">
        <f t="shared" si="29"/>
        <v>Hors délais</v>
      </c>
    </row>
    <row r="279" spans="1:23">
      <c r="A279" s="11">
        <v>263</v>
      </c>
      <c r="B279" s="12">
        <v>46133</v>
      </c>
      <c r="C279" s="13" t="s">
        <v>752</v>
      </c>
      <c r="D279" s="13" t="s">
        <v>96</v>
      </c>
      <c r="E279" s="13" t="s">
        <v>753</v>
      </c>
      <c r="F279" s="13" t="s">
        <v>754</v>
      </c>
      <c r="G279" s="11" t="s">
        <v>53</v>
      </c>
      <c r="H279" s="11" t="str">
        <f>IFERROR(VLOOKUP(G279,Paramètres!$B$6:$F$8,2,FALSE()),"")</f>
        <v>N/A</v>
      </c>
      <c r="I279" s="13" t="s">
        <v>240</v>
      </c>
      <c r="J279" s="11" t="s">
        <v>55</v>
      </c>
      <c r="K279" s="12">
        <v>46133</v>
      </c>
      <c r="L279" s="12">
        <v>46133</v>
      </c>
      <c r="M279" s="13" t="s">
        <v>61</v>
      </c>
      <c r="N279" s="14" t="s">
        <v>102</v>
      </c>
      <c r="O279" s="12"/>
      <c r="P279" s="11" t="str">
        <f t="shared" si="24"/>
        <v>-</v>
      </c>
      <c r="Q279" s="11" t="str">
        <f t="shared" ca="1" si="25"/>
        <v>-</v>
      </c>
      <c r="R279" s="11" t="str">
        <f>IFERROR(VLOOKUP(G279,Paramètres!$B$6:$F$8,3,FALSE()),"")</f>
        <v>N/A</v>
      </c>
      <c r="S279" s="11" t="str">
        <f t="shared" ca="1" si="26"/>
        <v>-</v>
      </c>
      <c r="T279" s="12"/>
      <c r="U279" s="11" t="str">
        <f t="shared" si="27"/>
        <v>-</v>
      </c>
      <c r="V279" s="11" t="str">
        <f t="shared" si="28"/>
        <v>-</v>
      </c>
      <c r="W279" s="11" t="str">
        <f t="shared" si="29"/>
        <v>Ne nécessite pas de réponse</v>
      </c>
    </row>
    <row r="280" spans="1:23">
      <c r="A280" s="11">
        <v>264</v>
      </c>
      <c r="B280" s="12">
        <v>46133</v>
      </c>
      <c r="C280" s="13" t="s">
        <v>755</v>
      </c>
      <c r="D280" s="13" t="s">
        <v>63</v>
      </c>
      <c r="E280" s="13" t="s">
        <v>756</v>
      </c>
      <c r="F280" s="13" t="s">
        <v>757</v>
      </c>
      <c r="G280" s="11" t="s">
        <v>39</v>
      </c>
      <c r="H280" s="11">
        <f>IFERROR(VLOOKUP(G280,Paramètres!$B$6:$F$8,2,FALSE()),"")</f>
        <v>5</v>
      </c>
      <c r="I280" s="13" t="s">
        <v>120</v>
      </c>
      <c r="J280" s="11" t="s">
        <v>48</v>
      </c>
      <c r="K280" s="12">
        <v>46134</v>
      </c>
      <c r="L280" s="12">
        <v>46134</v>
      </c>
      <c r="M280" s="13" t="s">
        <v>49</v>
      </c>
      <c r="N280" s="14" t="s">
        <v>121</v>
      </c>
      <c r="O280" s="12">
        <v>46136</v>
      </c>
      <c r="P280" s="11">
        <f t="shared" si="24"/>
        <v>3</v>
      </c>
      <c r="Q280" s="11" t="str">
        <f t="shared" ca="1" si="25"/>
        <v>-</v>
      </c>
      <c r="R280" s="11">
        <f>IFERROR(VLOOKUP(G280,Paramètres!$B$6:$F$8,3,FALSE()),"")</f>
        <v>2</v>
      </c>
      <c r="S280" s="11" t="str">
        <f t="shared" ca="1" si="26"/>
        <v>-</v>
      </c>
      <c r="T280" s="12">
        <v>46139</v>
      </c>
      <c r="U280" s="11">
        <f t="shared" si="27"/>
        <v>3</v>
      </c>
      <c r="V280" s="11">
        <f t="shared" si="28"/>
        <v>-1</v>
      </c>
      <c r="W280" s="11" t="str">
        <f t="shared" si="29"/>
        <v>Dans les délais</v>
      </c>
    </row>
    <row r="281" spans="1:23">
      <c r="A281" s="11">
        <v>265</v>
      </c>
      <c r="B281" s="12">
        <v>46133</v>
      </c>
      <c r="C281" s="13" t="s">
        <v>758</v>
      </c>
      <c r="D281" s="13" t="s">
        <v>89</v>
      </c>
      <c r="E281" s="13"/>
      <c r="F281" s="13" t="s">
        <v>759</v>
      </c>
      <c r="G281" s="11" t="s">
        <v>39</v>
      </c>
      <c r="H281" s="11">
        <f>IFERROR(VLOOKUP(G281,Paramètres!$B$6:$F$8,2,FALSE()),"")</f>
        <v>5</v>
      </c>
      <c r="I281" s="13" t="s">
        <v>168</v>
      </c>
      <c r="J281" s="11" t="s">
        <v>48</v>
      </c>
      <c r="K281" s="12">
        <v>46134</v>
      </c>
      <c r="L281" s="12">
        <v>46134</v>
      </c>
      <c r="M281" s="13"/>
      <c r="N281" s="14" t="s">
        <v>121</v>
      </c>
      <c r="O281" s="12">
        <v>46142</v>
      </c>
      <c r="P281" s="11">
        <f t="shared" si="24"/>
        <v>9</v>
      </c>
      <c r="Q281" s="11" t="str">
        <f t="shared" ca="1" si="25"/>
        <v>-</v>
      </c>
      <c r="R281" s="11">
        <f>IFERROR(VLOOKUP(G281,Paramètres!$B$6:$F$8,3,FALSE()),"")</f>
        <v>2</v>
      </c>
      <c r="S281" s="11" t="str">
        <f t="shared" ca="1" si="26"/>
        <v>-</v>
      </c>
      <c r="T281" s="12">
        <v>46147</v>
      </c>
      <c r="U281" s="11">
        <f t="shared" si="27"/>
        <v>5</v>
      </c>
      <c r="V281" s="11">
        <f t="shared" si="28"/>
        <v>7</v>
      </c>
      <c r="W281" s="11" t="str">
        <f t="shared" si="29"/>
        <v>Hors délais</v>
      </c>
    </row>
    <row r="282" spans="1:23">
      <c r="A282" s="11">
        <v>266</v>
      </c>
      <c r="B282" s="12">
        <v>46133</v>
      </c>
      <c r="C282" s="13" t="s">
        <v>760</v>
      </c>
      <c r="D282" s="13" t="s">
        <v>104</v>
      </c>
      <c r="E282" s="13" t="s">
        <v>761</v>
      </c>
      <c r="F282" s="13" t="s">
        <v>762</v>
      </c>
      <c r="G282" s="11" t="s">
        <v>39</v>
      </c>
      <c r="H282" s="11">
        <f>IFERROR(VLOOKUP(G282,Paramètres!$B$6:$F$8,2,FALSE()),"")</f>
        <v>5</v>
      </c>
      <c r="I282" s="13" t="s">
        <v>65</v>
      </c>
      <c r="J282" s="11" t="s">
        <v>55</v>
      </c>
      <c r="K282" s="12">
        <v>46133</v>
      </c>
      <c r="L282" s="12">
        <v>46133</v>
      </c>
      <c r="M282" s="13"/>
      <c r="N282" s="14" t="s">
        <v>102</v>
      </c>
      <c r="O282" s="12">
        <v>46136</v>
      </c>
      <c r="P282" s="11">
        <f t="shared" si="24"/>
        <v>3</v>
      </c>
      <c r="Q282" s="11" t="str">
        <f t="shared" ca="1" si="25"/>
        <v>-</v>
      </c>
      <c r="R282" s="11">
        <f>IFERROR(VLOOKUP(G282,Paramètres!$B$6:$F$8,3,FALSE()),"")</f>
        <v>2</v>
      </c>
      <c r="S282" s="11" t="str">
        <f t="shared" ca="1" si="26"/>
        <v>-</v>
      </c>
      <c r="T282" s="12">
        <v>46136</v>
      </c>
      <c r="U282" s="11">
        <f t="shared" si="27"/>
        <v>0</v>
      </c>
      <c r="V282" s="11">
        <f t="shared" si="28"/>
        <v>-4</v>
      </c>
      <c r="W282" s="11" t="str">
        <f t="shared" si="29"/>
        <v>Dans les délais</v>
      </c>
    </row>
    <row r="283" spans="1:23">
      <c r="A283" s="11">
        <v>267</v>
      </c>
      <c r="B283" s="12">
        <v>46134</v>
      </c>
      <c r="C283" s="13" t="s">
        <v>763</v>
      </c>
      <c r="D283" s="13" t="s">
        <v>100</v>
      </c>
      <c r="E283" s="13" t="s">
        <v>764</v>
      </c>
      <c r="F283" s="13" t="s">
        <v>765</v>
      </c>
      <c r="G283" s="11" t="s">
        <v>39</v>
      </c>
      <c r="H283" s="11">
        <f>IFERROR(VLOOKUP(G283,Paramètres!$B$6:$F$8,2,FALSE()),"")</f>
        <v>5</v>
      </c>
      <c r="I283" s="13" t="s">
        <v>65</v>
      </c>
      <c r="J283" s="11" t="s">
        <v>55</v>
      </c>
      <c r="K283" s="12">
        <v>46135</v>
      </c>
      <c r="L283" s="12">
        <v>46135</v>
      </c>
      <c r="M283" s="13" t="s">
        <v>86</v>
      </c>
      <c r="N283" s="14" t="s">
        <v>66</v>
      </c>
      <c r="O283" s="12">
        <v>46143</v>
      </c>
      <c r="P283" s="11">
        <f t="shared" si="24"/>
        <v>9</v>
      </c>
      <c r="Q283" s="11" t="str">
        <f t="shared" ca="1" si="25"/>
        <v>-</v>
      </c>
      <c r="R283" s="11">
        <f>IFERROR(VLOOKUP(G283,Paramètres!$B$6:$F$8,3,FALSE()),"")</f>
        <v>2</v>
      </c>
      <c r="S283" s="11" t="str">
        <f t="shared" ca="1" si="26"/>
        <v>-</v>
      </c>
      <c r="T283" s="12">
        <v>46146</v>
      </c>
      <c r="U283" s="11">
        <f t="shared" si="27"/>
        <v>3</v>
      </c>
      <c r="V283" s="11">
        <f t="shared" si="28"/>
        <v>5</v>
      </c>
      <c r="W283" s="11" t="str">
        <f t="shared" si="29"/>
        <v>Hors délais</v>
      </c>
    </row>
    <row r="284" spans="1:23">
      <c r="A284" s="11">
        <v>268</v>
      </c>
      <c r="B284" s="12">
        <v>46135</v>
      </c>
      <c r="C284" s="13" t="s">
        <v>766</v>
      </c>
      <c r="D284" s="13" t="s">
        <v>345</v>
      </c>
      <c r="E284" s="13" t="s">
        <v>767</v>
      </c>
      <c r="F284" s="13" t="s">
        <v>768</v>
      </c>
      <c r="G284" s="11" t="s">
        <v>53</v>
      </c>
      <c r="H284" s="11" t="str">
        <f>IFERROR(VLOOKUP(G284,Paramètres!$B$6:$F$8,2,FALSE()),"")</f>
        <v>N/A</v>
      </c>
      <c r="I284" s="13" t="s">
        <v>94</v>
      </c>
      <c r="J284" s="11" t="s">
        <v>55</v>
      </c>
      <c r="K284" s="12">
        <v>46136</v>
      </c>
      <c r="L284" s="12">
        <v>46139</v>
      </c>
      <c r="M284" s="13" t="s">
        <v>56</v>
      </c>
      <c r="N284" s="14" t="s">
        <v>57</v>
      </c>
      <c r="O284" s="12"/>
      <c r="P284" s="11" t="str">
        <f t="shared" si="24"/>
        <v>-</v>
      </c>
      <c r="Q284" s="11" t="str">
        <f t="shared" ca="1" si="25"/>
        <v>-</v>
      </c>
      <c r="R284" s="11" t="str">
        <f>IFERROR(VLOOKUP(G284,Paramètres!$B$6:$F$8,3,FALSE()),"")</f>
        <v>N/A</v>
      </c>
      <c r="S284" s="11" t="str">
        <f t="shared" ca="1" si="26"/>
        <v>-</v>
      </c>
      <c r="T284" s="12"/>
      <c r="U284" s="11" t="str">
        <f t="shared" si="27"/>
        <v>-</v>
      </c>
      <c r="V284" s="11" t="str">
        <f t="shared" si="28"/>
        <v>-</v>
      </c>
      <c r="W284" s="11" t="str">
        <f t="shared" si="29"/>
        <v>Ne nécessite pas de réponse</v>
      </c>
    </row>
    <row r="285" spans="1:23">
      <c r="A285" s="11">
        <v>269</v>
      </c>
      <c r="B285" s="12">
        <v>46135</v>
      </c>
      <c r="C285" s="13" t="s">
        <v>769</v>
      </c>
      <c r="D285" s="13" t="s">
        <v>178</v>
      </c>
      <c r="E285" s="13"/>
      <c r="F285" s="13" t="s">
        <v>770</v>
      </c>
      <c r="G285" s="11" t="s">
        <v>39</v>
      </c>
      <c r="H285" s="11">
        <f>IFERROR(VLOOKUP(G285,Paramètres!$B$6:$F$8,2,FALSE()),"")</f>
        <v>5</v>
      </c>
      <c r="I285" s="13" t="s">
        <v>54</v>
      </c>
      <c r="J285" s="11" t="s">
        <v>55</v>
      </c>
      <c r="K285" s="12">
        <v>46135</v>
      </c>
      <c r="L285" s="12">
        <v>46135</v>
      </c>
      <c r="M285" s="13" t="s">
        <v>49</v>
      </c>
      <c r="N285" s="14" t="s">
        <v>57</v>
      </c>
      <c r="O285" s="12">
        <v>46141</v>
      </c>
      <c r="P285" s="11">
        <f t="shared" si="24"/>
        <v>6</v>
      </c>
      <c r="Q285" s="11" t="str">
        <f t="shared" ca="1" si="25"/>
        <v>-</v>
      </c>
      <c r="R285" s="11">
        <f>IFERROR(VLOOKUP(G285,Paramètres!$B$6:$F$8,3,FALSE()),"")</f>
        <v>2</v>
      </c>
      <c r="S285" s="11" t="str">
        <f t="shared" ca="1" si="26"/>
        <v>-</v>
      </c>
      <c r="T285" s="12">
        <v>46148</v>
      </c>
      <c r="U285" s="11">
        <f t="shared" si="27"/>
        <v>7</v>
      </c>
      <c r="V285" s="11">
        <f t="shared" si="28"/>
        <v>6</v>
      </c>
      <c r="W285" s="11" t="str">
        <f t="shared" si="29"/>
        <v>Hors délais</v>
      </c>
    </row>
    <row r="286" spans="1:23">
      <c r="A286" s="11">
        <v>270</v>
      </c>
      <c r="B286" s="12">
        <v>46136</v>
      </c>
      <c r="C286" s="13" t="s">
        <v>771</v>
      </c>
      <c r="D286" s="13" t="s">
        <v>145</v>
      </c>
      <c r="E286" s="13" t="s">
        <v>772</v>
      </c>
      <c r="F286" s="13" t="s">
        <v>773</v>
      </c>
      <c r="G286" s="11" t="s">
        <v>39</v>
      </c>
      <c r="H286" s="11">
        <f>IFERROR(VLOOKUP(G286,Paramètres!$B$6:$F$8,2,FALSE()),"")</f>
        <v>5</v>
      </c>
      <c r="I286" s="13" t="s">
        <v>232</v>
      </c>
      <c r="J286" s="11" t="s">
        <v>55</v>
      </c>
      <c r="K286" s="12">
        <v>46136</v>
      </c>
      <c r="L286" s="12">
        <v>46136</v>
      </c>
      <c r="M286" s="13" t="s">
        <v>86</v>
      </c>
      <c r="N286" s="14" t="s">
        <v>102</v>
      </c>
      <c r="O286" s="12">
        <v>46142</v>
      </c>
      <c r="P286" s="11">
        <f t="shared" si="24"/>
        <v>6</v>
      </c>
      <c r="Q286" s="11" t="str">
        <f t="shared" ca="1" si="25"/>
        <v>-</v>
      </c>
      <c r="R286" s="11">
        <f>IFERROR(VLOOKUP(G286,Paramètres!$B$6:$F$8,3,FALSE()),"")</f>
        <v>2</v>
      </c>
      <c r="S286" s="11" t="str">
        <f t="shared" ca="1" si="26"/>
        <v>-</v>
      </c>
      <c r="T286" s="12">
        <v>46143</v>
      </c>
      <c r="U286" s="11">
        <f t="shared" si="27"/>
        <v>1</v>
      </c>
      <c r="V286" s="11">
        <f t="shared" si="28"/>
        <v>0</v>
      </c>
      <c r="W286" s="11" t="str">
        <f t="shared" si="29"/>
        <v>Dans les délais</v>
      </c>
    </row>
    <row r="287" spans="1:23">
      <c r="A287" s="11">
        <v>271</v>
      </c>
      <c r="B287" s="12">
        <v>46136</v>
      </c>
      <c r="C287" s="13" t="s">
        <v>774</v>
      </c>
      <c r="D287" s="13" t="s">
        <v>248</v>
      </c>
      <c r="E287" s="13" t="s">
        <v>775</v>
      </c>
      <c r="F287" s="13" t="s">
        <v>776</v>
      </c>
      <c r="G287" s="11" t="s">
        <v>39</v>
      </c>
      <c r="H287" s="11">
        <f>IFERROR(VLOOKUP(G287,Paramètres!$B$6:$F$8,2,FALSE()),"")</f>
        <v>5</v>
      </c>
      <c r="I287" s="13" t="s">
        <v>74</v>
      </c>
      <c r="J287" s="11" t="s">
        <v>41</v>
      </c>
      <c r="K287" s="12">
        <v>46139</v>
      </c>
      <c r="L287" s="12">
        <v>46139</v>
      </c>
      <c r="M287" s="13" t="s">
        <v>56</v>
      </c>
      <c r="N287" s="14" t="s">
        <v>87</v>
      </c>
      <c r="O287" s="12">
        <v>46141</v>
      </c>
      <c r="P287" s="11">
        <f t="shared" si="24"/>
        <v>5</v>
      </c>
      <c r="Q287" s="11" t="str">
        <f t="shared" ca="1" si="25"/>
        <v>-</v>
      </c>
      <c r="R287" s="11">
        <f>IFERROR(VLOOKUP(G287,Paramètres!$B$6:$F$8,3,FALSE()),"")</f>
        <v>2</v>
      </c>
      <c r="S287" s="11" t="str">
        <f t="shared" ca="1" si="26"/>
        <v>-</v>
      </c>
      <c r="T287" s="12">
        <v>46141</v>
      </c>
      <c r="U287" s="11">
        <f t="shared" si="27"/>
        <v>0</v>
      </c>
      <c r="V287" s="11">
        <f t="shared" si="28"/>
        <v>-2</v>
      </c>
      <c r="W287" s="11" t="str">
        <f t="shared" si="29"/>
        <v>Dans les délais</v>
      </c>
    </row>
    <row r="288" spans="1:23">
      <c r="A288" s="11">
        <v>272</v>
      </c>
      <c r="B288" s="12">
        <v>46136</v>
      </c>
      <c r="C288" s="13" t="s">
        <v>777</v>
      </c>
      <c r="D288" s="13" t="s">
        <v>59</v>
      </c>
      <c r="E288" s="13"/>
      <c r="F288" s="13" t="s">
        <v>778</v>
      </c>
      <c r="G288" s="11" t="s">
        <v>39</v>
      </c>
      <c r="H288" s="11">
        <f>IFERROR(VLOOKUP(G288,Paramètres!$B$6:$F$8,2,FALSE()),"")</f>
        <v>5</v>
      </c>
      <c r="I288" s="13" t="s">
        <v>85</v>
      </c>
      <c r="J288" s="11" t="s">
        <v>41</v>
      </c>
      <c r="K288" s="12">
        <v>46136</v>
      </c>
      <c r="L288" s="12">
        <v>46136</v>
      </c>
      <c r="M288" s="13"/>
      <c r="N288" s="14" t="s">
        <v>76</v>
      </c>
      <c r="O288" s="12">
        <v>46146</v>
      </c>
      <c r="P288" s="11">
        <f t="shared" si="24"/>
        <v>10</v>
      </c>
      <c r="Q288" s="11" t="str">
        <f t="shared" ca="1" si="25"/>
        <v>-</v>
      </c>
      <c r="R288" s="11">
        <f>IFERROR(VLOOKUP(G288,Paramètres!$B$6:$F$8,3,FALSE()),"")</f>
        <v>2</v>
      </c>
      <c r="S288" s="11" t="str">
        <f t="shared" ca="1" si="26"/>
        <v>-</v>
      </c>
      <c r="T288" s="12">
        <v>46153</v>
      </c>
      <c r="U288" s="11">
        <f t="shared" si="27"/>
        <v>7</v>
      </c>
      <c r="V288" s="11">
        <f t="shared" si="28"/>
        <v>10</v>
      </c>
      <c r="W288" s="11" t="str">
        <f t="shared" si="29"/>
        <v>Hors délais</v>
      </c>
    </row>
    <row r="289" spans="1:23">
      <c r="A289" s="11">
        <v>273</v>
      </c>
      <c r="B289" s="12">
        <v>46136</v>
      </c>
      <c r="C289" s="13" t="s">
        <v>779</v>
      </c>
      <c r="D289" s="13" t="s">
        <v>118</v>
      </c>
      <c r="E289" s="13"/>
      <c r="F289" s="13" t="s">
        <v>780</v>
      </c>
      <c r="G289" s="11" t="s">
        <v>39</v>
      </c>
      <c r="H289" s="11">
        <f>IFERROR(VLOOKUP(G289,Paramètres!$B$6:$F$8,2,FALSE()),"")</f>
        <v>5</v>
      </c>
      <c r="I289" s="13" t="s">
        <v>91</v>
      </c>
      <c r="J289" s="11" t="s">
        <v>41</v>
      </c>
      <c r="K289" s="12">
        <v>46139</v>
      </c>
      <c r="L289" s="12">
        <v>46139</v>
      </c>
      <c r="M289" s="13" t="s">
        <v>61</v>
      </c>
      <c r="N289" s="14" t="s">
        <v>76</v>
      </c>
      <c r="O289" s="12">
        <v>46146</v>
      </c>
      <c r="P289" s="11">
        <f t="shared" si="24"/>
        <v>10</v>
      </c>
      <c r="Q289" s="11" t="str">
        <f t="shared" ca="1" si="25"/>
        <v>-</v>
      </c>
      <c r="R289" s="11">
        <f>IFERROR(VLOOKUP(G289,Paramètres!$B$6:$F$8,3,FALSE()),"")</f>
        <v>2</v>
      </c>
      <c r="S289" s="11" t="str">
        <f t="shared" ca="1" si="26"/>
        <v>-</v>
      </c>
      <c r="T289" s="12">
        <v>46146</v>
      </c>
      <c r="U289" s="11">
        <f t="shared" si="27"/>
        <v>0</v>
      </c>
      <c r="V289" s="11">
        <f t="shared" si="28"/>
        <v>3</v>
      </c>
      <c r="W289" s="11" t="str">
        <f t="shared" si="29"/>
        <v>Hors délais</v>
      </c>
    </row>
    <row r="290" spans="1:23">
      <c r="A290" s="11">
        <v>274</v>
      </c>
      <c r="B290" s="12">
        <v>46139</v>
      </c>
      <c r="C290" s="13" t="s">
        <v>781</v>
      </c>
      <c r="D290" s="13" t="s">
        <v>89</v>
      </c>
      <c r="E290" s="13" t="s">
        <v>782</v>
      </c>
      <c r="F290" s="13" t="s">
        <v>783</v>
      </c>
      <c r="G290" s="11" t="s">
        <v>39</v>
      </c>
      <c r="H290" s="11">
        <f>IFERROR(VLOOKUP(G290,Paramètres!$B$6:$F$8,2,FALSE()),"")</f>
        <v>5</v>
      </c>
      <c r="I290" s="13" t="s">
        <v>120</v>
      </c>
      <c r="J290" s="11" t="s">
        <v>48</v>
      </c>
      <c r="K290" s="12">
        <v>46139</v>
      </c>
      <c r="L290" s="12">
        <v>46140</v>
      </c>
      <c r="M290" s="13" t="s">
        <v>42</v>
      </c>
      <c r="N290" s="14" t="s">
        <v>50</v>
      </c>
      <c r="O290" s="12">
        <v>46141</v>
      </c>
      <c r="P290" s="11">
        <f t="shared" si="24"/>
        <v>2</v>
      </c>
      <c r="Q290" s="11" t="str">
        <f t="shared" ca="1" si="25"/>
        <v>-</v>
      </c>
      <c r="R290" s="11">
        <f>IFERROR(VLOOKUP(G290,Paramètres!$B$6:$F$8,3,FALSE()),"")</f>
        <v>2</v>
      </c>
      <c r="S290" s="11" t="str">
        <f t="shared" ca="1" si="26"/>
        <v>-</v>
      </c>
      <c r="T290" s="12">
        <v>46142</v>
      </c>
      <c r="U290" s="11">
        <f t="shared" si="27"/>
        <v>1</v>
      </c>
      <c r="V290" s="11">
        <f t="shared" si="28"/>
        <v>-4</v>
      </c>
      <c r="W290" s="11" t="str">
        <f t="shared" si="29"/>
        <v>Dans les délais</v>
      </c>
    </row>
    <row r="291" spans="1:23">
      <c r="A291" s="11">
        <v>275</v>
      </c>
      <c r="B291" s="12">
        <v>46139</v>
      </c>
      <c r="C291" s="13" t="s">
        <v>784</v>
      </c>
      <c r="D291" s="13" t="s">
        <v>37</v>
      </c>
      <c r="E291" s="13"/>
      <c r="F291" s="13" t="s">
        <v>785</v>
      </c>
      <c r="G291" s="11" t="s">
        <v>53</v>
      </c>
      <c r="H291" s="11" t="str">
        <f>IFERROR(VLOOKUP(G291,Paramètres!$B$6:$F$8,2,FALSE()),"")</f>
        <v>N/A</v>
      </c>
      <c r="I291" s="13" t="s">
        <v>232</v>
      </c>
      <c r="J291" s="11" t="s">
        <v>55</v>
      </c>
      <c r="K291" s="12">
        <v>46140</v>
      </c>
      <c r="L291" s="12">
        <v>46141</v>
      </c>
      <c r="M291" s="13" t="s">
        <v>86</v>
      </c>
      <c r="N291" s="14" t="s">
        <v>66</v>
      </c>
      <c r="O291" s="12"/>
      <c r="P291" s="11" t="str">
        <f t="shared" si="24"/>
        <v>-</v>
      </c>
      <c r="Q291" s="11" t="str">
        <f t="shared" ca="1" si="25"/>
        <v>-</v>
      </c>
      <c r="R291" s="11" t="str">
        <f>IFERROR(VLOOKUP(G291,Paramètres!$B$6:$F$8,3,FALSE()),"")</f>
        <v>N/A</v>
      </c>
      <c r="S291" s="11" t="str">
        <f t="shared" ca="1" si="26"/>
        <v>-</v>
      </c>
      <c r="T291" s="12"/>
      <c r="U291" s="11" t="str">
        <f t="shared" si="27"/>
        <v>-</v>
      </c>
      <c r="V291" s="11" t="str">
        <f t="shared" si="28"/>
        <v>-</v>
      </c>
      <c r="W291" s="11" t="str">
        <f t="shared" si="29"/>
        <v>Ne nécessite pas de réponse</v>
      </c>
    </row>
    <row r="292" spans="1:23">
      <c r="A292" s="11">
        <v>276</v>
      </c>
      <c r="B292" s="12">
        <v>46139</v>
      </c>
      <c r="C292" s="13" t="s">
        <v>786</v>
      </c>
      <c r="D292" s="13" t="s">
        <v>145</v>
      </c>
      <c r="E292" s="13" t="s">
        <v>787</v>
      </c>
      <c r="F292" s="13" t="s">
        <v>788</v>
      </c>
      <c r="G292" s="11" t="s">
        <v>53</v>
      </c>
      <c r="H292" s="11" t="str">
        <f>IFERROR(VLOOKUP(G292,Paramètres!$B$6:$F$8,2,FALSE()),"")</f>
        <v>N/A</v>
      </c>
      <c r="I292" s="13" t="s">
        <v>240</v>
      </c>
      <c r="J292" s="11" t="s">
        <v>55</v>
      </c>
      <c r="K292" s="12">
        <v>46140</v>
      </c>
      <c r="L292" s="12">
        <v>46140</v>
      </c>
      <c r="M292" s="13"/>
      <c r="N292" s="14" t="s">
        <v>66</v>
      </c>
      <c r="O292" s="12"/>
      <c r="P292" s="11" t="str">
        <f t="shared" si="24"/>
        <v>-</v>
      </c>
      <c r="Q292" s="11" t="str">
        <f t="shared" ca="1" si="25"/>
        <v>-</v>
      </c>
      <c r="R292" s="11" t="str">
        <f>IFERROR(VLOOKUP(G292,Paramètres!$B$6:$F$8,3,FALSE()),"")</f>
        <v>N/A</v>
      </c>
      <c r="S292" s="11" t="str">
        <f t="shared" ca="1" si="26"/>
        <v>-</v>
      </c>
      <c r="T292" s="12"/>
      <c r="U292" s="11" t="str">
        <f t="shared" si="27"/>
        <v>-</v>
      </c>
      <c r="V292" s="11" t="str">
        <f t="shared" si="28"/>
        <v>-</v>
      </c>
      <c r="W292" s="11" t="str">
        <f t="shared" si="29"/>
        <v>Ne nécessite pas de réponse</v>
      </c>
    </row>
    <row r="293" spans="1:23" ht="28.5">
      <c r="A293" s="11">
        <v>277</v>
      </c>
      <c r="B293" s="12">
        <v>46139</v>
      </c>
      <c r="C293" s="13" t="s">
        <v>789</v>
      </c>
      <c r="D293" s="13" t="s">
        <v>230</v>
      </c>
      <c r="E293" s="13"/>
      <c r="F293" s="13" t="s">
        <v>790</v>
      </c>
      <c r="G293" s="11" t="s">
        <v>39</v>
      </c>
      <c r="H293" s="11">
        <f>IFERROR(VLOOKUP(G293,Paramètres!$B$6:$F$8,2,FALSE()),"")</f>
        <v>5</v>
      </c>
      <c r="I293" s="13" t="s">
        <v>74</v>
      </c>
      <c r="J293" s="11" t="s">
        <v>41</v>
      </c>
      <c r="K293" s="12">
        <v>46139</v>
      </c>
      <c r="L293" s="12">
        <v>46139</v>
      </c>
      <c r="M293" s="13" t="s">
        <v>75</v>
      </c>
      <c r="N293" s="14" t="s">
        <v>43</v>
      </c>
      <c r="O293" s="12">
        <v>46146</v>
      </c>
      <c r="P293" s="11">
        <f t="shared" si="24"/>
        <v>7</v>
      </c>
      <c r="Q293" s="11" t="str">
        <f t="shared" ca="1" si="25"/>
        <v>-</v>
      </c>
      <c r="R293" s="11">
        <f>IFERROR(VLOOKUP(G293,Paramètres!$B$6:$F$8,3,FALSE()),"")</f>
        <v>2</v>
      </c>
      <c r="S293" s="11" t="str">
        <f t="shared" ca="1" si="26"/>
        <v>-</v>
      </c>
      <c r="T293" s="12">
        <v>46147</v>
      </c>
      <c r="U293" s="11">
        <f t="shared" si="27"/>
        <v>1</v>
      </c>
      <c r="V293" s="11">
        <f t="shared" si="28"/>
        <v>1</v>
      </c>
      <c r="W293" s="11" t="str">
        <f t="shared" si="29"/>
        <v>Hors délais</v>
      </c>
    </row>
    <row r="294" spans="1:23">
      <c r="A294" s="11">
        <v>278</v>
      </c>
      <c r="B294" s="12">
        <v>46140</v>
      </c>
      <c r="C294" s="13" t="s">
        <v>791</v>
      </c>
      <c r="D294" s="13" t="s">
        <v>118</v>
      </c>
      <c r="E294" s="13" t="s">
        <v>792</v>
      </c>
      <c r="F294" s="13" t="s">
        <v>793</v>
      </c>
      <c r="G294" s="11" t="s">
        <v>53</v>
      </c>
      <c r="H294" s="11" t="str">
        <f>IFERROR(VLOOKUP(G294,Paramètres!$B$6:$F$8,2,FALSE()),"")</f>
        <v>N/A</v>
      </c>
      <c r="I294" s="13" t="s">
        <v>168</v>
      </c>
      <c r="J294" s="11" t="s">
        <v>48</v>
      </c>
      <c r="K294" s="12">
        <v>46141</v>
      </c>
      <c r="L294" s="12">
        <v>46141</v>
      </c>
      <c r="M294" s="13" t="s">
        <v>56</v>
      </c>
      <c r="N294" s="14" t="s">
        <v>50</v>
      </c>
      <c r="O294" s="12"/>
      <c r="P294" s="11" t="str">
        <f t="shared" si="24"/>
        <v>-</v>
      </c>
      <c r="Q294" s="11" t="str">
        <f t="shared" ca="1" si="25"/>
        <v>-</v>
      </c>
      <c r="R294" s="11" t="str">
        <f>IFERROR(VLOOKUP(G294,Paramètres!$B$6:$F$8,3,FALSE()),"")</f>
        <v>N/A</v>
      </c>
      <c r="S294" s="11" t="str">
        <f t="shared" ca="1" si="26"/>
        <v>-</v>
      </c>
      <c r="T294" s="12"/>
      <c r="U294" s="11" t="str">
        <f t="shared" si="27"/>
        <v>-</v>
      </c>
      <c r="V294" s="11" t="str">
        <f t="shared" si="28"/>
        <v>-</v>
      </c>
      <c r="W294" s="11" t="str">
        <f t="shared" si="29"/>
        <v>Ne nécessite pas de réponse</v>
      </c>
    </row>
    <row r="295" spans="1:23">
      <c r="A295" s="11">
        <v>279</v>
      </c>
      <c r="B295" s="12">
        <v>46140</v>
      </c>
      <c r="C295" s="13" t="s">
        <v>794</v>
      </c>
      <c r="D295" s="13" t="s">
        <v>89</v>
      </c>
      <c r="E295" s="13"/>
      <c r="F295" s="13" t="s">
        <v>795</v>
      </c>
      <c r="G295" s="11" t="s">
        <v>84</v>
      </c>
      <c r="H295" s="11">
        <f>IFERROR(VLOOKUP(G295,Paramètres!$B$6:$F$8,2,FALSE()),"")</f>
        <v>5</v>
      </c>
      <c r="I295" s="13" t="s">
        <v>98</v>
      </c>
      <c r="J295" s="11" t="s">
        <v>41</v>
      </c>
      <c r="K295" s="12">
        <v>46141</v>
      </c>
      <c r="L295" s="12">
        <v>46142</v>
      </c>
      <c r="M295" s="13" t="s">
        <v>61</v>
      </c>
      <c r="N295" s="14" t="s">
        <v>43</v>
      </c>
      <c r="O295" s="12">
        <v>46148</v>
      </c>
      <c r="P295" s="11">
        <f t="shared" si="24"/>
        <v>8</v>
      </c>
      <c r="Q295" s="11" t="str">
        <f t="shared" ca="1" si="25"/>
        <v>-</v>
      </c>
      <c r="R295" s="11">
        <f>IFERROR(VLOOKUP(G295,Paramètres!$B$6:$F$8,3,FALSE()),"")</f>
        <v>2</v>
      </c>
      <c r="S295" s="11" t="str">
        <f t="shared" ca="1" si="26"/>
        <v>-</v>
      </c>
      <c r="T295" s="12">
        <v>46150</v>
      </c>
      <c r="U295" s="11">
        <f t="shared" si="27"/>
        <v>2</v>
      </c>
      <c r="V295" s="11">
        <f t="shared" si="28"/>
        <v>3</v>
      </c>
      <c r="W295" s="11" t="str">
        <f t="shared" si="29"/>
        <v>Hors délais</v>
      </c>
    </row>
    <row r="296" spans="1:23">
      <c r="A296" s="11">
        <v>280</v>
      </c>
      <c r="B296" s="12">
        <v>46141</v>
      </c>
      <c r="C296" s="13" t="s">
        <v>796</v>
      </c>
      <c r="D296" s="13" t="s">
        <v>104</v>
      </c>
      <c r="E296" s="13"/>
      <c r="F296" s="13" t="s">
        <v>797</v>
      </c>
      <c r="G296" s="11" t="s">
        <v>39</v>
      </c>
      <c r="H296" s="11">
        <f>IFERROR(VLOOKUP(G296,Paramètres!$B$6:$F$8,2,FALSE()),"")</f>
        <v>5</v>
      </c>
      <c r="I296" s="13" t="s">
        <v>168</v>
      </c>
      <c r="J296" s="11" t="s">
        <v>48</v>
      </c>
      <c r="K296" s="12">
        <v>46142</v>
      </c>
      <c r="L296" s="12">
        <v>46142</v>
      </c>
      <c r="M296" s="13" t="s">
        <v>86</v>
      </c>
      <c r="N296" s="14" t="s">
        <v>121</v>
      </c>
      <c r="O296" s="12">
        <v>46148</v>
      </c>
      <c r="P296" s="11">
        <f t="shared" si="24"/>
        <v>7</v>
      </c>
      <c r="Q296" s="11" t="str">
        <f t="shared" ca="1" si="25"/>
        <v>-</v>
      </c>
      <c r="R296" s="11">
        <f>IFERROR(VLOOKUP(G296,Paramètres!$B$6:$F$8,3,FALSE()),"")</f>
        <v>2</v>
      </c>
      <c r="S296" s="11" t="str">
        <f t="shared" ca="1" si="26"/>
        <v>-</v>
      </c>
      <c r="T296" s="12">
        <v>46155</v>
      </c>
      <c r="U296" s="11">
        <f t="shared" si="27"/>
        <v>7</v>
      </c>
      <c r="V296" s="11">
        <f t="shared" si="28"/>
        <v>7</v>
      </c>
      <c r="W296" s="11" t="str">
        <f t="shared" si="29"/>
        <v>Hors délais</v>
      </c>
    </row>
    <row r="297" spans="1:23">
      <c r="A297" s="11">
        <v>281</v>
      </c>
      <c r="B297" s="12">
        <v>46141</v>
      </c>
      <c r="C297" s="13" t="s">
        <v>798</v>
      </c>
      <c r="D297" s="13" t="s">
        <v>230</v>
      </c>
      <c r="E297" s="13"/>
      <c r="F297" s="13" t="s">
        <v>799</v>
      </c>
      <c r="G297" s="11" t="s">
        <v>39</v>
      </c>
      <c r="H297" s="11">
        <f>IFERROR(VLOOKUP(G297,Paramètres!$B$6:$F$8,2,FALSE()),"")</f>
        <v>5</v>
      </c>
      <c r="I297" s="13" t="s">
        <v>120</v>
      </c>
      <c r="J297" s="11" t="s">
        <v>48</v>
      </c>
      <c r="K297" s="12">
        <v>46141</v>
      </c>
      <c r="L297" s="12">
        <v>46142</v>
      </c>
      <c r="M297" s="13" t="s">
        <v>49</v>
      </c>
      <c r="N297" s="14" t="s">
        <v>121</v>
      </c>
      <c r="O297" s="12">
        <v>46149</v>
      </c>
      <c r="P297" s="11">
        <f t="shared" si="24"/>
        <v>8</v>
      </c>
      <c r="Q297" s="11" t="str">
        <f t="shared" ca="1" si="25"/>
        <v>-</v>
      </c>
      <c r="R297" s="11">
        <f>IFERROR(VLOOKUP(G297,Paramètres!$B$6:$F$8,3,FALSE()),"")</f>
        <v>2</v>
      </c>
      <c r="S297" s="11" t="str">
        <f t="shared" ca="1" si="26"/>
        <v>-</v>
      </c>
      <c r="T297" s="12">
        <v>46156</v>
      </c>
      <c r="U297" s="11">
        <f t="shared" si="27"/>
        <v>7</v>
      </c>
      <c r="V297" s="11">
        <f t="shared" si="28"/>
        <v>8</v>
      </c>
      <c r="W297" s="11" t="str">
        <f t="shared" si="29"/>
        <v>Hors délais</v>
      </c>
    </row>
    <row r="298" spans="1:23">
      <c r="A298" s="11">
        <v>282</v>
      </c>
      <c r="B298" s="12">
        <v>46142</v>
      </c>
      <c r="C298" s="13" t="s">
        <v>800</v>
      </c>
      <c r="D298" s="13" t="s">
        <v>230</v>
      </c>
      <c r="E298" s="13"/>
      <c r="F298" s="13" t="s">
        <v>801</v>
      </c>
      <c r="G298" s="11" t="s">
        <v>39</v>
      </c>
      <c r="H298" s="11">
        <f>IFERROR(VLOOKUP(G298,Paramètres!$B$6:$F$8,2,FALSE()),"")</f>
        <v>5</v>
      </c>
      <c r="I298" s="13" t="s">
        <v>98</v>
      </c>
      <c r="J298" s="11" t="s">
        <v>41</v>
      </c>
      <c r="K298" s="12">
        <v>46142</v>
      </c>
      <c r="L298" s="12">
        <v>46142</v>
      </c>
      <c r="M298" s="13" t="s">
        <v>49</v>
      </c>
      <c r="N298" s="14" t="s">
        <v>43</v>
      </c>
      <c r="O298" s="12">
        <v>46149</v>
      </c>
      <c r="P298" s="11">
        <f t="shared" si="24"/>
        <v>7</v>
      </c>
      <c r="Q298" s="11" t="str">
        <f t="shared" ca="1" si="25"/>
        <v>-</v>
      </c>
      <c r="R298" s="11">
        <f>IFERROR(VLOOKUP(G298,Paramètres!$B$6:$F$8,3,FALSE()),"")</f>
        <v>2</v>
      </c>
      <c r="S298" s="11" t="str">
        <f t="shared" ca="1" si="26"/>
        <v>-</v>
      </c>
      <c r="T298" s="12">
        <v>46150</v>
      </c>
      <c r="U298" s="11">
        <f t="shared" si="27"/>
        <v>1</v>
      </c>
      <c r="V298" s="11">
        <f t="shared" si="28"/>
        <v>1</v>
      </c>
      <c r="W298" s="11" t="str">
        <f t="shared" si="29"/>
        <v>Hors délais</v>
      </c>
    </row>
    <row r="299" spans="1:23">
      <c r="A299" s="11">
        <v>283</v>
      </c>
      <c r="B299" s="12">
        <v>46142</v>
      </c>
      <c r="C299" s="13" t="s">
        <v>802</v>
      </c>
      <c r="D299" s="13" t="s">
        <v>118</v>
      </c>
      <c r="E299" s="13" t="s">
        <v>803</v>
      </c>
      <c r="F299" s="13" t="s">
        <v>804</v>
      </c>
      <c r="G299" s="11" t="s">
        <v>39</v>
      </c>
      <c r="H299" s="11">
        <f>IFERROR(VLOOKUP(G299,Paramètres!$B$6:$F$8,2,FALSE()),"")</f>
        <v>5</v>
      </c>
      <c r="I299" s="13" t="s">
        <v>190</v>
      </c>
      <c r="J299" s="11" t="s">
        <v>48</v>
      </c>
      <c r="K299" s="12">
        <v>46142</v>
      </c>
      <c r="L299" s="12">
        <v>46143</v>
      </c>
      <c r="M299" s="13" t="s">
        <v>61</v>
      </c>
      <c r="N299" s="14" t="s">
        <v>121</v>
      </c>
      <c r="O299" s="12">
        <v>46147</v>
      </c>
      <c r="P299" s="11">
        <f t="shared" si="24"/>
        <v>5</v>
      </c>
      <c r="Q299" s="11" t="str">
        <f t="shared" ca="1" si="25"/>
        <v>-</v>
      </c>
      <c r="R299" s="11">
        <f>IFERROR(VLOOKUP(G299,Paramètres!$B$6:$F$8,3,FALSE()),"")</f>
        <v>2</v>
      </c>
      <c r="S299" s="11" t="str">
        <f t="shared" ca="1" si="26"/>
        <v>-</v>
      </c>
      <c r="T299" s="12">
        <v>46148</v>
      </c>
      <c r="U299" s="11">
        <f t="shared" si="27"/>
        <v>1</v>
      </c>
      <c r="V299" s="11">
        <f t="shared" si="28"/>
        <v>-1</v>
      </c>
      <c r="W299" s="11" t="str">
        <f t="shared" si="29"/>
        <v>Dans les délais</v>
      </c>
    </row>
    <row r="300" spans="1:23">
      <c r="A300" s="11">
        <v>284</v>
      </c>
      <c r="B300" s="12">
        <v>46142</v>
      </c>
      <c r="C300" s="13" t="s">
        <v>805</v>
      </c>
      <c r="D300" s="13" t="s">
        <v>248</v>
      </c>
      <c r="E300" s="13"/>
      <c r="F300" s="13" t="s">
        <v>806</v>
      </c>
      <c r="G300" s="11" t="s">
        <v>84</v>
      </c>
      <c r="H300" s="11">
        <f>IFERROR(VLOOKUP(G300,Paramètres!$B$6:$F$8,2,FALSE()),"")</f>
        <v>5</v>
      </c>
      <c r="I300" s="13" t="s">
        <v>40</v>
      </c>
      <c r="J300" s="11" t="s">
        <v>41</v>
      </c>
      <c r="K300" s="12">
        <v>46142</v>
      </c>
      <c r="L300" s="12">
        <v>46142</v>
      </c>
      <c r="M300" s="13" t="s">
        <v>49</v>
      </c>
      <c r="N300" s="14" t="s">
        <v>43</v>
      </c>
      <c r="O300" s="12">
        <v>46149</v>
      </c>
      <c r="P300" s="11">
        <f t="shared" si="24"/>
        <v>7</v>
      </c>
      <c r="Q300" s="11" t="str">
        <f t="shared" ca="1" si="25"/>
        <v>-</v>
      </c>
      <c r="R300" s="11">
        <f>IFERROR(VLOOKUP(G300,Paramètres!$B$6:$F$8,3,FALSE()),"")</f>
        <v>2</v>
      </c>
      <c r="S300" s="11" t="str">
        <f t="shared" ca="1" si="26"/>
        <v>-</v>
      </c>
      <c r="T300" s="12">
        <v>46150</v>
      </c>
      <c r="U300" s="11">
        <f t="shared" si="27"/>
        <v>1</v>
      </c>
      <c r="V300" s="11">
        <f t="shared" si="28"/>
        <v>1</v>
      </c>
      <c r="W300" s="11" t="str">
        <f t="shared" si="29"/>
        <v>Hors délais</v>
      </c>
    </row>
    <row r="301" spans="1:23">
      <c r="A301" s="11">
        <v>285</v>
      </c>
      <c r="B301" s="12">
        <v>46143</v>
      </c>
      <c r="C301" s="13" t="s">
        <v>807</v>
      </c>
      <c r="D301" s="13" t="s">
        <v>96</v>
      </c>
      <c r="E301" s="13" t="s">
        <v>808</v>
      </c>
      <c r="F301" s="13" t="s">
        <v>809</v>
      </c>
      <c r="G301" s="11" t="s">
        <v>39</v>
      </c>
      <c r="H301" s="11">
        <f>IFERROR(VLOOKUP(G301,Paramètres!$B$6:$F$8,2,FALSE()),"")</f>
        <v>5</v>
      </c>
      <c r="I301" s="13" t="s">
        <v>40</v>
      </c>
      <c r="J301" s="11" t="s">
        <v>41</v>
      </c>
      <c r="K301" s="12">
        <v>46143</v>
      </c>
      <c r="L301" s="12">
        <v>46143</v>
      </c>
      <c r="M301" s="13" t="s">
        <v>61</v>
      </c>
      <c r="N301" s="14" t="s">
        <v>43</v>
      </c>
      <c r="O301" s="12">
        <v>46147</v>
      </c>
      <c r="P301" s="11">
        <f t="shared" si="24"/>
        <v>4</v>
      </c>
      <c r="Q301" s="11" t="str">
        <f t="shared" ca="1" si="25"/>
        <v>-</v>
      </c>
      <c r="R301" s="11">
        <f>IFERROR(VLOOKUP(G301,Paramètres!$B$6:$F$8,3,FALSE()),"")</f>
        <v>2</v>
      </c>
      <c r="S301" s="11" t="str">
        <f t="shared" ca="1" si="26"/>
        <v>-</v>
      </c>
      <c r="T301" s="12">
        <v>46154</v>
      </c>
      <c r="U301" s="11">
        <f t="shared" si="27"/>
        <v>7</v>
      </c>
      <c r="V301" s="11">
        <f t="shared" si="28"/>
        <v>4</v>
      </c>
      <c r="W301" s="11" t="str">
        <f t="shared" si="29"/>
        <v>Hors délais</v>
      </c>
    </row>
    <row r="302" spans="1:23" ht="28.5">
      <c r="A302" s="11">
        <v>286</v>
      </c>
      <c r="B302" s="12">
        <v>46143</v>
      </c>
      <c r="C302" s="13" t="s">
        <v>810</v>
      </c>
      <c r="D302" s="13" t="s">
        <v>175</v>
      </c>
      <c r="E302" s="13"/>
      <c r="F302" s="13" t="s">
        <v>811</v>
      </c>
      <c r="G302" s="11" t="s">
        <v>53</v>
      </c>
      <c r="H302" s="11" t="str">
        <f>IFERROR(VLOOKUP(G302,Paramètres!$B$6:$F$8,2,FALSE()),"")</f>
        <v>N/A</v>
      </c>
      <c r="I302" s="13" t="s">
        <v>98</v>
      </c>
      <c r="J302" s="11" t="s">
        <v>41</v>
      </c>
      <c r="K302" s="12">
        <v>46143</v>
      </c>
      <c r="L302" s="12">
        <v>46143</v>
      </c>
      <c r="M302" s="13" t="s">
        <v>75</v>
      </c>
      <c r="N302" s="14" t="s">
        <v>43</v>
      </c>
      <c r="O302" s="12"/>
      <c r="P302" s="11" t="str">
        <f t="shared" si="24"/>
        <v>-</v>
      </c>
      <c r="Q302" s="11" t="str">
        <f t="shared" ca="1" si="25"/>
        <v>-</v>
      </c>
      <c r="R302" s="11" t="str">
        <f>IFERROR(VLOOKUP(G302,Paramètres!$B$6:$F$8,3,FALSE()),"")</f>
        <v>N/A</v>
      </c>
      <c r="S302" s="11" t="str">
        <f t="shared" ca="1" si="26"/>
        <v>-</v>
      </c>
      <c r="T302" s="12"/>
      <c r="U302" s="11" t="str">
        <f t="shared" si="27"/>
        <v>-</v>
      </c>
      <c r="V302" s="11" t="str">
        <f t="shared" si="28"/>
        <v>-</v>
      </c>
      <c r="W302" s="11" t="str">
        <f t="shared" si="29"/>
        <v>Ne nécessite pas de réponse</v>
      </c>
    </row>
    <row r="303" spans="1:23">
      <c r="A303" s="11">
        <v>287</v>
      </c>
      <c r="B303" s="12">
        <v>46143</v>
      </c>
      <c r="C303" s="13" t="s">
        <v>812</v>
      </c>
      <c r="D303" s="13" t="s">
        <v>104</v>
      </c>
      <c r="E303" s="13"/>
      <c r="F303" s="13" t="s">
        <v>813</v>
      </c>
      <c r="G303" s="11" t="s">
        <v>39</v>
      </c>
      <c r="H303" s="11">
        <f>IFERROR(VLOOKUP(G303,Paramètres!$B$6:$F$8,2,FALSE()),"")</f>
        <v>5</v>
      </c>
      <c r="I303" s="13" t="s">
        <v>85</v>
      </c>
      <c r="J303" s="11" t="s">
        <v>41</v>
      </c>
      <c r="K303" s="12">
        <v>46146</v>
      </c>
      <c r="L303" s="12">
        <v>46146</v>
      </c>
      <c r="M303" s="13"/>
      <c r="N303" s="14" t="s">
        <v>43</v>
      </c>
      <c r="O303" s="12">
        <v>46154</v>
      </c>
      <c r="P303" s="11">
        <f t="shared" si="24"/>
        <v>11</v>
      </c>
      <c r="Q303" s="11" t="str">
        <f t="shared" ca="1" si="25"/>
        <v>-</v>
      </c>
      <c r="R303" s="11">
        <f>IFERROR(VLOOKUP(G303,Paramètres!$B$6:$F$8,3,FALSE()),"")</f>
        <v>2</v>
      </c>
      <c r="S303" s="11" t="str">
        <f t="shared" ca="1" si="26"/>
        <v>-</v>
      </c>
      <c r="T303" s="12">
        <v>46157</v>
      </c>
      <c r="U303" s="11">
        <f t="shared" si="27"/>
        <v>3</v>
      </c>
      <c r="V303" s="11">
        <f t="shared" si="28"/>
        <v>7</v>
      </c>
      <c r="W303" s="11" t="str">
        <f t="shared" si="29"/>
        <v>Hors délais</v>
      </c>
    </row>
    <row r="304" spans="1:23">
      <c r="A304" s="11">
        <v>288</v>
      </c>
      <c r="B304" s="12">
        <v>46146</v>
      </c>
      <c r="C304" s="13" t="s">
        <v>814</v>
      </c>
      <c r="D304" s="13" t="s">
        <v>115</v>
      </c>
      <c r="E304" s="13"/>
      <c r="F304" s="13" t="s">
        <v>815</v>
      </c>
      <c r="G304" s="11" t="s">
        <v>39</v>
      </c>
      <c r="H304" s="11">
        <f>IFERROR(VLOOKUP(G304,Paramètres!$B$6:$F$8,2,FALSE()),"")</f>
        <v>5</v>
      </c>
      <c r="I304" s="13" t="s">
        <v>98</v>
      </c>
      <c r="J304" s="11" t="s">
        <v>41</v>
      </c>
      <c r="K304" s="12">
        <v>46147</v>
      </c>
      <c r="L304" s="12">
        <v>46147</v>
      </c>
      <c r="M304" s="13" t="s">
        <v>86</v>
      </c>
      <c r="N304" s="14" t="s">
        <v>76</v>
      </c>
      <c r="O304" s="12">
        <v>46155</v>
      </c>
      <c r="P304" s="11">
        <f t="shared" si="24"/>
        <v>9</v>
      </c>
      <c r="Q304" s="11" t="str">
        <f t="shared" ca="1" si="25"/>
        <v>-</v>
      </c>
      <c r="R304" s="11">
        <f>IFERROR(VLOOKUP(G304,Paramètres!$B$6:$F$8,3,FALSE()),"")</f>
        <v>2</v>
      </c>
      <c r="S304" s="11" t="str">
        <f t="shared" ca="1" si="26"/>
        <v>-</v>
      </c>
      <c r="T304" s="12">
        <v>46155</v>
      </c>
      <c r="U304" s="11">
        <f t="shared" si="27"/>
        <v>0</v>
      </c>
      <c r="V304" s="11">
        <f t="shared" si="28"/>
        <v>2</v>
      </c>
      <c r="W304" s="11" t="str">
        <f t="shared" si="29"/>
        <v>Hors délais</v>
      </c>
    </row>
    <row r="305" spans="1:23">
      <c r="A305" s="11">
        <v>289</v>
      </c>
      <c r="B305" s="12">
        <v>46146</v>
      </c>
      <c r="C305" s="13" t="s">
        <v>816</v>
      </c>
      <c r="D305" s="13" t="s">
        <v>89</v>
      </c>
      <c r="E305" s="13" t="s">
        <v>817</v>
      </c>
      <c r="F305" s="13" t="s">
        <v>818</v>
      </c>
      <c r="G305" s="11" t="s">
        <v>39</v>
      </c>
      <c r="H305" s="11">
        <f>IFERROR(VLOOKUP(G305,Paramètres!$B$6:$F$8,2,FALSE()),"")</f>
        <v>5</v>
      </c>
      <c r="I305" s="13" t="s">
        <v>185</v>
      </c>
      <c r="J305" s="11" t="s">
        <v>48</v>
      </c>
      <c r="K305" s="12">
        <v>46147</v>
      </c>
      <c r="L305" s="12">
        <v>46147</v>
      </c>
      <c r="M305" s="13" t="s">
        <v>61</v>
      </c>
      <c r="N305" s="14" t="s">
        <v>121</v>
      </c>
      <c r="O305" s="12">
        <v>46149</v>
      </c>
      <c r="P305" s="11">
        <f t="shared" si="24"/>
        <v>3</v>
      </c>
      <c r="Q305" s="11" t="str">
        <f t="shared" ca="1" si="25"/>
        <v>-</v>
      </c>
      <c r="R305" s="11">
        <f>IFERROR(VLOOKUP(G305,Paramètres!$B$6:$F$8,3,FALSE()),"")</f>
        <v>2</v>
      </c>
      <c r="S305" s="11" t="str">
        <f t="shared" ca="1" si="26"/>
        <v>-</v>
      </c>
      <c r="T305" s="12">
        <v>46150</v>
      </c>
      <c r="U305" s="11">
        <f t="shared" si="27"/>
        <v>1</v>
      </c>
      <c r="V305" s="11">
        <f t="shared" si="28"/>
        <v>-3</v>
      </c>
      <c r="W305" s="11" t="str">
        <f t="shared" si="29"/>
        <v>Dans les délais</v>
      </c>
    </row>
    <row r="306" spans="1:23">
      <c r="A306" s="11">
        <v>290</v>
      </c>
      <c r="B306" s="12">
        <v>46147</v>
      </c>
      <c r="C306" s="13" t="s">
        <v>819</v>
      </c>
      <c r="D306" s="13" t="s">
        <v>118</v>
      </c>
      <c r="E306" s="13"/>
      <c r="F306" s="13" t="s">
        <v>820</v>
      </c>
      <c r="G306" s="11" t="s">
        <v>39</v>
      </c>
      <c r="H306" s="11">
        <f>IFERROR(VLOOKUP(G306,Paramètres!$B$6:$F$8,2,FALSE()),"")</f>
        <v>5</v>
      </c>
      <c r="I306" s="13" t="s">
        <v>155</v>
      </c>
      <c r="J306" s="11" t="s">
        <v>48</v>
      </c>
      <c r="K306" s="12">
        <v>46147</v>
      </c>
      <c r="L306" s="12">
        <v>46148</v>
      </c>
      <c r="M306" s="13" t="s">
        <v>56</v>
      </c>
      <c r="N306" s="14" t="s">
        <v>50</v>
      </c>
      <c r="O306" s="12">
        <v>46154</v>
      </c>
      <c r="P306" s="11">
        <f t="shared" si="24"/>
        <v>7</v>
      </c>
      <c r="Q306" s="11" t="str">
        <f t="shared" ca="1" si="25"/>
        <v>-</v>
      </c>
      <c r="R306" s="11">
        <f>IFERROR(VLOOKUP(G306,Paramètres!$B$6:$F$8,3,FALSE()),"")</f>
        <v>2</v>
      </c>
      <c r="S306" s="11" t="str">
        <f t="shared" ca="1" si="26"/>
        <v>-</v>
      </c>
      <c r="T306" s="12">
        <v>46155</v>
      </c>
      <c r="U306" s="11">
        <f t="shared" si="27"/>
        <v>1</v>
      </c>
      <c r="V306" s="11">
        <f t="shared" si="28"/>
        <v>1</v>
      </c>
      <c r="W306" s="11" t="str">
        <f t="shared" si="29"/>
        <v>Hors délais</v>
      </c>
    </row>
    <row r="307" spans="1:23" ht="28.5">
      <c r="A307" s="11">
        <v>291</v>
      </c>
      <c r="B307" s="12">
        <v>46147</v>
      </c>
      <c r="C307" s="13" t="s">
        <v>821</v>
      </c>
      <c r="D307" s="13" t="s">
        <v>100</v>
      </c>
      <c r="E307" s="13" t="s">
        <v>822</v>
      </c>
      <c r="F307" s="13" t="s">
        <v>823</v>
      </c>
      <c r="G307" s="11" t="s">
        <v>39</v>
      </c>
      <c r="H307" s="11">
        <f>IFERROR(VLOOKUP(G307,Paramètres!$B$6:$F$8,2,FALSE()),"")</f>
        <v>5</v>
      </c>
      <c r="I307" s="13" t="s">
        <v>98</v>
      </c>
      <c r="J307" s="11" t="s">
        <v>41</v>
      </c>
      <c r="K307" s="12">
        <v>46147</v>
      </c>
      <c r="L307" s="12">
        <v>46147</v>
      </c>
      <c r="M307" s="13" t="s">
        <v>75</v>
      </c>
      <c r="N307" s="14" t="s">
        <v>43</v>
      </c>
      <c r="O307" s="12">
        <v>46153</v>
      </c>
      <c r="P307" s="11">
        <f t="shared" si="24"/>
        <v>6</v>
      </c>
      <c r="Q307" s="11" t="str">
        <f t="shared" ca="1" si="25"/>
        <v>-</v>
      </c>
      <c r="R307" s="11">
        <f>IFERROR(VLOOKUP(G307,Paramètres!$B$6:$F$8,3,FALSE()),"")</f>
        <v>2</v>
      </c>
      <c r="S307" s="11" t="str">
        <f t="shared" ca="1" si="26"/>
        <v>-</v>
      </c>
      <c r="T307" s="12">
        <v>46160</v>
      </c>
      <c r="U307" s="11">
        <f t="shared" si="27"/>
        <v>7</v>
      </c>
      <c r="V307" s="11">
        <f t="shared" si="28"/>
        <v>6</v>
      </c>
      <c r="W307" s="11" t="str">
        <f t="shared" si="29"/>
        <v>Hors délais</v>
      </c>
    </row>
    <row r="308" spans="1:23">
      <c r="A308" s="11">
        <v>292</v>
      </c>
      <c r="B308" s="12">
        <v>46147</v>
      </c>
      <c r="C308" s="13" t="s">
        <v>824</v>
      </c>
      <c r="D308" s="13" t="s">
        <v>145</v>
      </c>
      <c r="E308" s="13"/>
      <c r="F308" s="13" t="s">
        <v>825</v>
      </c>
      <c r="G308" s="11" t="s">
        <v>39</v>
      </c>
      <c r="H308" s="11">
        <f>IFERROR(VLOOKUP(G308,Paramètres!$B$6:$F$8,2,FALSE()),"")</f>
        <v>5</v>
      </c>
      <c r="I308" s="13" t="s">
        <v>108</v>
      </c>
      <c r="J308" s="11" t="s">
        <v>55</v>
      </c>
      <c r="K308" s="12">
        <v>46147</v>
      </c>
      <c r="L308" s="12">
        <v>46147</v>
      </c>
      <c r="M308" s="13" t="s">
        <v>42</v>
      </c>
      <c r="N308" s="14" t="s">
        <v>66</v>
      </c>
      <c r="O308" s="12">
        <v>46153</v>
      </c>
      <c r="P308" s="11">
        <f t="shared" si="24"/>
        <v>6</v>
      </c>
      <c r="Q308" s="11" t="str">
        <f t="shared" ca="1" si="25"/>
        <v>-</v>
      </c>
      <c r="R308" s="11">
        <f>IFERROR(VLOOKUP(G308,Paramètres!$B$6:$F$8,3,FALSE()),"")</f>
        <v>2</v>
      </c>
      <c r="S308" s="11" t="str">
        <f t="shared" ca="1" si="26"/>
        <v>-</v>
      </c>
      <c r="T308" s="12">
        <v>46154</v>
      </c>
      <c r="U308" s="11">
        <f t="shared" si="27"/>
        <v>1</v>
      </c>
      <c r="V308" s="11">
        <f t="shared" si="28"/>
        <v>0</v>
      </c>
      <c r="W308" s="11" t="str">
        <f t="shared" si="29"/>
        <v>Dans les délais</v>
      </c>
    </row>
    <row r="309" spans="1:23">
      <c r="A309" s="11">
        <v>293</v>
      </c>
      <c r="B309" s="12">
        <v>46147</v>
      </c>
      <c r="C309" s="13" t="s">
        <v>826</v>
      </c>
      <c r="D309" s="13" t="s">
        <v>123</v>
      </c>
      <c r="E309" s="13" t="s">
        <v>827</v>
      </c>
      <c r="F309" s="13" t="s">
        <v>828</v>
      </c>
      <c r="G309" s="11" t="s">
        <v>39</v>
      </c>
      <c r="H309" s="11">
        <f>IFERROR(VLOOKUP(G309,Paramètres!$B$6:$F$8,2,FALSE()),"")</f>
        <v>5</v>
      </c>
      <c r="I309" s="13" t="s">
        <v>232</v>
      </c>
      <c r="J309" s="11" t="s">
        <v>55</v>
      </c>
      <c r="K309" s="12">
        <v>46147</v>
      </c>
      <c r="L309" s="12">
        <v>46147</v>
      </c>
      <c r="M309" s="13" t="s">
        <v>42</v>
      </c>
      <c r="N309" s="14" t="s">
        <v>102</v>
      </c>
      <c r="O309" s="12">
        <v>46150</v>
      </c>
      <c r="P309" s="11">
        <f t="shared" si="24"/>
        <v>3</v>
      </c>
      <c r="Q309" s="11" t="str">
        <f t="shared" ca="1" si="25"/>
        <v>-</v>
      </c>
      <c r="R309" s="11">
        <f>IFERROR(VLOOKUP(G309,Paramètres!$B$6:$F$8,3,FALSE()),"")</f>
        <v>2</v>
      </c>
      <c r="S309" s="11" t="str">
        <f t="shared" ca="1" si="26"/>
        <v>-</v>
      </c>
      <c r="T309" s="12">
        <v>46154</v>
      </c>
      <c r="U309" s="11">
        <f t="shared" si="27"/>
        <v>4</v>
      </c>
      <c r="V309" s="11">
        <f t="shared" si="28"/>
        <v>0</v>
      </c>
      <c r="W309" s="11" t="str">
        <f t="shared" si="29"/>
        <v>Dans les délais</v>
      </c>
    </row>
    <row r="310" spans="1:23" ht="28.5">
      <c r="A310" s="11">
        <v>294</v>
      </c>
      <c r="B310" s="12">
        <v>46147</v>
      </c>
      <c r="C310" s="13" t="s">
        <v>829</v>
      </c>
      <c r="D310" s="13" t="s">
        <v>37</v>
      </c>
      <c r="E310" s="13"/>
      <c r="F310" s="13" t="s">
        <v>830</v>
      </c>
      <c r="G310" s="11" t="s">
        <v>39</v>
      </c>
      <c r="H310" s="11">
        <f>IFERROR(VLOOKUP(G310,Paramètres!$B$6:$F$8,2,FALSE()),"")</f>
        <v>5</v>
      </c>
      <c r="I310" s="13" t="s">
        <v>168</v>
      </c>
      <c r="J310" s="11" t="s">
        <v>48</v>
      </c>
      <c r="K310" s="12">
        <v>46147</v>
      </c>
      <c r="L310" s="12">
        <v>46147</v>
      </c>
      <c r="M310" s="13" t="s">
        <v>75</v>
      </c>
      <c r="N310" s="14" t="s">
        <v>186</v>
      </c>
      <c r="O310" s="12">
        <v>46155</v>
      </c>
      <c r="P310" s="11">
        <f t="shared" si="24"/>
        <v>8</v>
      </c>
      <c r="Q310" s="11" t="str">
        <f t="shared" ca="1" si="25"/>
        <v>-</v>
      </c>
      <c r="R310" s="11">
        <f>IFERROR(VLOOKUP(G310,Paramètres!$B$6:$F$8,3,FALSE()),"")</f>
        <v>2</v>
      </c>
      <c r="S310" s="11" t="str">
        <f t="shared" ca="1" si="26"/>
        <v>-</v>
      </c>
      <c r="T310" s="12">
        <v>46162</v>
      </c>
      <c r="U310" s="11">
        <f t="shared" si="27"/>
        <v>7</v>
      </c>
      <c r="V310" s="11">
        <f t="shared" si="28"/>
        <v>8</v>
      </c>
      <c r="W310" s="11" t="str">
        <f t="shared" si="29"/>
        <v>Hors délais</v>
      </c>
    </row>
    <row r="311" spans="1:23">
      <c r="A311" s="11">
        <v>295</v>
      </c>
      <c r="B311" s="12">
        <v>46147</v>
      </c>
      <c r="C311" s="13" t="s">
        <v>831</v>
      </c>
      <c r="D311" s="13" t="s">
        <v>81</v>
      </c>
      <c r="E311" s="13" t="s">
        <v>832</v>
      </c>
      <c r="F311" s="13" t="s">
        <v>833</v>
      </c>
      <c r="G311" s="11" t="s">
        <v>39</v>
      </c>
      <c r="H311" s="11">
        <f>IFERROR(VLOOKUP(G311,Paramètres!$B$6:$F$8,2,FALSE()),"")</f>
        <v>5</v>
      </c>
      <c r="I311" s="13" t="s">
        <v>426</v>
      </c>
      <c r="J311" s="11" t="s">
        <v>41</v>
      </c>
      <c r="K311" s="12">
        <v>46147</v>
      </c>
      <c r="L311" s="12">
        <v>46147</v>
      </c>
      <c r="M311" s="13"/>
      <c r="N311" s="14" t="s">
        <v>43</v>
      </c>
      <c r="O311" s="12">
        <v>46163</v>
      </c>
      <c r="P311" s="11">
        <f t="shared" si="24"/>
        <v>16</v>
      </c>
      <c r="Q311" s="11" t="str">
        <f t="shared" ca="1" si="25"/>
        <v>-</v>
      </c>
      <c r="R311" s="11">
        <f>IFERROR(VLOOKUP(G311,Paramètres!$B$6:$F$8,3,FALSE()),"")</f>
        <v>2</v>
      </c>
      <c r="S311" s="11" t="str">
        <f t="shared" ca="1" si="26"/>
        <v>-</v>
      </c>
      <c r="T311" s="12">
        <v>46164</v>
      </c>
      <c r="U311" s="11">
        <f t="shared" si="27"/>
        <v>1</v>
      </c>
      <c r="V311" s="11">
        <f t="shared" si="28"/>
        <v>10</v>
      </c>
      <c r="W311" s="11" t="str">
        <f t="shared" si="29"/>
        <v>Hors délais</v>
      </c>
    </row>
    <row r="312" spans="1:23">
      <c r="A312" s="11">
        <v>296</v>
      </c>
      <c r="B312" s="12">
        <v>46148</v>
      </c>
      <c r="C312" s="13" t="s">
        <v>834</v>
      </c>
      <c r="D312" s="13" t="s">
        <v>118</v>
      </c>
      <c r="E312" s="13" t="s">
        <v>835</v>
      </c>
      <c r="F312" s="13" t="s">
        <v>836</v>
      </c>
      <c r="G312" s="11" t="s">
        <v>39</v>
      </c>
      <c r="H312" s="11">
        <f>IFERROR(VLOOKUP(G312,Paramètres!$B$6:$F$8,2,FALSE()),"")</f>
        <v>5</v>
      </c>
      <c r="I312" s="13" t="s">
        <v>155</v>
      </c>
      <c r="J312" s="11" t="s">
        <v>48</v>
      </c>
      <c r="K312" s="12">
        <v>46148</v>
      </c>
      <c r="L312" s="12">
        <v>46148</v>
      </c>
      <c r="M312" s="13" t="s">
        <v>61</v>
      </c>
      <c r="N312" s="14" t="s">
        <v>121</v>
      </c>
      <c r="O312" s="12">
        <v>46150</v>
      </c>
      <c r="P312" s="11">
        <f t="shared" si="24"/>
        <v>2</v>
      </c>
      <c r="Q312" s="11" t="str">
        <f t="shared" ca="1" si="25"/>
        <v>-</v>
      </c>
      <c r="R312" s="11">
        <f>IFERROR(VLOOKUP(G312,Paramètres!$B$6:$F$8,3,FALSE()),"")</f>
        <v>2</v>
      </c>
      <c r="S312" s="11" t="str">
        <f t="shared" ca="1" si="26"/>
        <v>-</v>
      </c>
      <c r="T312" s="12">
        <v>46153</v>
      </c>
      <c r="U312" s="11">
        <f t="shared" si="27"/>
        <v>3</v>
      </c>
      <c r="V312" s="11">
        <f t="shared" si="28"/>
        <v>-2</v>
      </c>
      <c r="W312" s="11" t="str">
        <f t="shared" si="29"/>
        <v>Dans les délais</v>
      </c>
    </row>
    <row r="313" spans="1:23">
      <c r="A313" s="11">
        <v>297</v>
      </c>
      <c r="B313" s="12">
        <v>46148</v>
      </c>
      <c r="C313" s="13" t="s">
        <v>837</v>
      </c>
      <c r="D313" s="13" t="s">
        <v>175</v>
      </c>
      <c r="E313" s="13"/>
      <c r="F313" s="13" t="s">
        <v>838</v>
      </c>
      <c r="G313" s="11" t="s">
        <v>53</v>
      </c>
      <c r="H313" s="11" t="str">
        <f>IFERROR(VLOOKUP(G313,Paramètres!$B$6:$F$8,2,FALSE()),"")</f>
        <v>N/A</v>
      </c>
      <c r="I313" s="13" t="s">
        <v>190</v>
      </c>
      <c r="J313" s="11" t="s">
        <v>48</v>
      </c>
      <c r="K313" s="12">
        <v>46149</v>
      </c>
      <c r="L313" s="12">
        <v>46149</v>
      </c>
      <c r="M313" s="13" t="s">
        <v>49</v>
      </c>
      <c r="N313" s="14" t="s">
        <v>186</v>
      </c>
      <c r="O313" s="12"/>
      <c r="P313" s="11" t="str">
        <f t="shared" si="24"/>
        <v>-</v>
      </c>
      <c r="Q313" s="11" t="str">
        <f t="shared" ca="1" si="25"/>
        <v>-</v>
      </c>
      <c r="R313" s="11" t="str">
        <f>IFERROR(VLOOKUP(G313,Paramètres!$B$6:$F$8,3,FALSE()),"")</f>
        <v>N/A</v>
      </c>
      <c r="S313" s="11" t="str">
        <f t="shared" ca="1" si="26"/>
        <v>-</v>
      </c>
      <c r="T313" s="12"/>
      <c r="U313" s="11" t="str">
        <f t="shared" si="27"/>
        <v>-</v>
      </c>
      <c r="V313" s="11" t="str">
        <f t="shared" si="28"/>
        <v>-</v>
      </c>
      <c r="W313" s="11" t="str">
        <f t="shared" si="29"/>
        <v>Ne nécessite pas de réponse</v>
      </c>
    </row>
    <row r="314" spans="1:23">
      <c r="A314" s="11">
        <v>298</v>
      </c>
      <c r="B314" s="12">
        <v>46148</v>
      </c>
      <c r="C314" s="13" t="s">
        <v>839</v>
      </c>
      <c r="D314" s="13" t="s">
        <v>145</v>
      </c>
      <c r="E314" s="13"/>
      <c r="F314" s="13" t="s">
        <v>840</v>
      </c>
      <c r="G314" s="11" t="s">
        <v>39</v>
      </c>
      <c r="H314" s="11">
        <f>IFERROR(VLOOKUP(G314,Paramètres!$B$6:$F$8,2,FALSE()),"")</f>
        <v>5</v>
      </c>
      <c r="I314" s="13" t="s">
        <v>71</v>
      </c>
      <c r="J314" s="11" t="s">
        <v>41</v>
      </c>
      <c r="K314" s="12">
        <v>46148</v>
      </c>
      <c r="L314" s="12">
        <v>46148</v>
      </c>
      <c r="M314" s="13" t="s">
        <v>86</v>
      </c>
      <c r="N314" s="14" t="s">
        <v>87</v>
      </c>
      <c r="O314" s="12">
        <v>46157</v>
      </c>
      <c r="P314" s="11">
        <f t="shared" si="24"/>
        <v>9</v>
      </c>
      <c r="Q314" s="11" t="str">
        <f t="shared" ca="1" si="25"/>
        <v>-</v>
      </c>
      <c r="R314" s="11">
        <f>IFERROR(VLOOKUP(G314,Paramètres!$B$6:$F$8,3,FALSE()),"")</f>
        <v>2</v>
      </c>
      <c r="S314" s="11" t="str">
        <f t="shared" ca="1" si="26"/>
        <v>-</v>
      </c>
      <c r="T314" s="12">
        <v>46157</v>
      </c>
      <c r="U314" s="11">
        <f t="shared" si="27"/>
        <v>0</v>
      </c>
      <c r="V314" s="11">
        <f t="shared" si="28"/>
        <v>2</v>
      </c>
      <c r="W314" s="11" t="str">
        <f t="shared" si="29"/>
        <v>Hors délais</v>
      </c>
    </row>
    <row r="315" spans="1:23">
      <c r="A315" s="11">
        <v>299</v>
      </c>
      <c r="B315" s="12">
        <v>46148</v>
      </c>
      <c r="C315" s="13" t="s">
        <v>841</v>
      </c>
      <c r="D315" s="13" t="s">
        <v>45</v>
      </c>
      <c r="E315" s="13"/>
      <c r="F315" s="13" t="s">
        <v>842</v>
      </c>
      <c r="G315" s="11" t="s">
        <v>39</v>
      </c>
      <c r="H315" s="11">
        <f>IFERROR(VLOOKUP(G315,Paramètres!$B$6:$F$8,2,FALSE()),"")</f>
        <v>5</v>
      </c>
      <c r="I315" s="13" t="s">
        <v>85</v>
      </c>
      <c r="J315" s="11" t="s">
        <v>41</v>
      </c>
      <c r="K315" s="12">
        <v>46148</v>
      </c>
      <c r="L315" s="12">
        <v>46149</v>
      </c>
      <c r="M315" s="13"/>
      <c r="N315" s="14" t="s">
        <v>76</v>
      </c>
      <c r="O315" s="12">
        <v>46154</v>
      </c>
      <c r="P315" s="11">
        <f t="shared" si="24"/>
        <v>6</v>
      </c>
      <c r="Q315" s="11" t="str">
        <f t="shared" ca="1" si="25"/>
        <v>-</v>
      </c>
      <c r="R315" s="11">
        <f>IFERROR(VLOOKUP(G315,Paramètres!$B$6:$F$8,3,FALSE()),"")</f>
        <v>2</v>
      </c>
      <c r="S315" s="11" t="str">
        <f t="shared" ca="1" si="26"/>
        <v>-</v>
      </c>
      <c r="T315" s="12">
        <v>46154</v>
      </c>
      <c r="U315" s="11">
        <f t="shared" si="27"/>
        <v>0</v>
      </c>
      <c r="V315" s="11">
        <f t="shared" si="28"/>
        <v>-1</v>
      </c>
      <c r="W315" s="11" t="str">
        <f t="shared" si="29"/>
        <v>Dans les délais</v>
      </c>
    </row>
    <row r="316" spans="1:23">
      <c r="A316" s="11">
        <v>300</v>
      </c>
      <c r="B316" s="12">
        <v>46148</v>
      </c>
      <c r="C316" s="13" t="s">
        <v>843</v>
      </c>
      <c r="D316" s="13" t="s">
        <v>345</v>
      </c>
      <c r="E316" s="13" t="s">
        <v>844</v>
      </c>
      <c r="F316" s="13" t="s">
        <v>845</v>
      </c>
      <c r="G316" s="11" t="s">
        <v>39</v>
      </c>
      <c r="H316" s="11">
        <f>IFERROR(VLOOKUP(G316,Paramètres!$B$6:$F$8,2,FALSE()),"")</f>
        <v>5</v>
      </c>
      <c r="I316" s="13" t="s">
        <v>240</v>
      </c>
      <c r="J316" s="11" t="s">
        <v>55</v>
      </c>
      <c r="K316" s="12">
        <v>46148</v>
      </c>
      <c r="L316" s="12">
        <v>46148</v>
      </c>
      <c r="M316" s="13" t="s">
        <v>49</v>
      </c>
      <c r="N316" s="14" t="s">
        <v>102</v>
      </c>
      <c r="O316" s="12">
        <v>46150</v>
      </c>
      <c r="P316" s="11">
        <f t="shared" si="24"/>
        <v>2</v>
      </c>
      <c r="Q316" s="11" t="str">
        <f t="shared" ca="1" si="25"/>
        <v>-</v>
      </c>
      <c r="R316" s="11">
        <f>IFERROR(VLOOKUP(G316,Paramètres!$B$6:$F$8,3,FALSE()),"")</f>
        <v>2</v>
      </c>
      <c r="S316" s="11" t="str">
        <f t="shared" ca="1" si="26"/>
        <v>-</v>
      </c>
      <c r="T316" s="12">
        <v>46153</v>
      </c>
      <c r="U316" s="11">
        <f t="shared" si="27"/>
        <v>3</v>
      </c>
      <c r="V316" s="11">
        <f t="shared" si="28"/>
        <v>-2</v>
      </c>
      <c r="W316" s="11" t="str">
        <f t="shared" si="29"/>
        <v>Dans les délais</v>
      </c>
    </row>
    <row r="317" spans="1:23">
      <c r="A317" s="11">
        <v>301</v>
      </c>
      <c r="B317" s="12">
        <v>46148</v>
      </c>
      <c r="C317" s="13" t="s">
        <v>846</v>
      </c>
      <c r="D317" s="13" t="s">
        <v>175</v>
      </c>
      <c r="E317" s="13"/>
      <c r="F317" s="13" t="s">
        <v>847</v>
      </c>
      <c r="G317" s="11" t="s">
        <v>39</v>
      </c>
      <c r="H317" s="11">
        <f>IFERROR(VLOOKUP(G317,Paramètres!$B$6:$F$8,2,FALSE()),"")</f>
        <v>5</v>
      </c>
      <c r="I317" s="13" t="s">
        <v>120</v>
      </c>
      <c r="J317" s="11" t="s">
        <v>48</v>
      </c>
      <c r="K317" s="12">
        <v>46149</v>
      </c>
      <c r="L317" s="12">
        <v>46149</v>
      </c>
      <c r="M317" s="13"/>
      <c r="N317" s="14" t="s">
        <v>186</v>
      </c>
      <c r="O317" s="12"/>
      <c r="P317" s="11" t="str">
        <f t="shared" si="24"/>
        <v/>
      </c>
      <c r="Q317" s="11" t="str">
        <f t="shared" ca="1" si="25"/>
        <v>ROUGE</v>
      </c>
      <c r="R317" s="11">
        <f>IFERROR(VLOOKUP(G317,Paramètres!$B$6:$F$8,3,FALSE()),"")</f>
        <v>2</v>
      </c>
      <c r="S317" s="11" t="str">
        <f t="shared" ca="1" si="26"/>
        <v/>
      </c>
      <c r="T317" s="12"/>
      <c r="U317" s="11" t="str">
        <f t="shared" si="27"/>
        <v/>
      </c>
      <c r="V317" s="11" t="str">
        <f t="shared" si="28"/>
        <v/>
      </c>
      <c r="W317" s="11" t="str">
        <f t="shared" si="29"/>
        <v/>
      </c>
    </row>
    <row r="318" spans="1:23">
      <c r="A318" s="11">
        <v>302</v>
      </c>
      <c r="B318" s="12">
        <v>46148</v>
      </c>
      <c r="C318" s="13" t="s">
        <v>848</v>
      </c>
      <c r="D318" s="13" t="s">
        <v>81</v>
      </c>
      <c r="E318" s="13" t="s">
        <v>849</v>
      </c>
      <c r="F318" s="13" t="s">
        <v>850</v>
      </c>
      <c r="G318" s="11" t="s">
        <v>84</v>
      </c>
      <c r="H318" s="11">
        <f>IFERROR(VLOOKUP(G318,Paramètres!$B$6:$F$8,2,FALSE()),"")</f>
        <v>5</v>
      </c>
      <c r="I318" s="13" t="s">
        <v>65</v>
      </c>
      <c r="J318" s="11" t="s">
        <v>55</v>
      </c>
      <c r="K318" s="12">
        <v>46148</v>
      </c>
      <c r="L318" s="12">
        <v>46148</v>
      </c>
      <c r="M318" s="13" t="s">
        <v>61</v>
      </c>
      <c r="N318" s="14" t="s">
        <v>66</v>
      </c>
      <c r="O318" s="12">
        <v>46164</v>
      </c>
      <c r="P318" s="11">
        <f t="shared" si="24"/>
        <v>16</v>
      </c>
      <c r="Q318" s="11" t="str">
        <f t="shared" ca="1" si="25"/>
        <v>-</v>
      </c>
      <c r="R318" s="11">
        <f>IFERROR(VLOOKUP(G318,Paramètres!$B$6:$F$8,3,FALSE()),"")</f>
        <v>2</v>
      </c>
      <c r="S318" s="11" t="str">
        <f t="shared" ca="1" si="26"/>
        <v>-</v>
      </c>
      <c r="T318" s="12">
        <v>46168</v>
      </c>
      <c r="U318" s="11">
        <f t="shared" si="27"/>
        <v>4</v>
      </c>
      <c r="V318" s="11">
        <f t="shared" si="28"/>
        <v>13</v>
      </c>
      <c r="W318" s="11" t="str">
        <f t="shared" si="29"/>
        <v>Hors délais</v>
      </c>
    </row>
    <row r="319" spans="1:23">
      <c r="A319" s="11">
        <v>303</v>
      </c>
      <c r="B319" s="12">
        <v>46148</v>
      </c>
      <c r="C319" s="13" t="s">
        <v>851</v>
      </c>
      <c r="D319" s="13" t="s">
        <v>89</v>
      </c>
      <c r="E319" s="13"/>
      <c r="F319" s="13" t="s">
        <v>852</v>
      </c>
      <c r="G319" s="11" t="s">
        <v>39</v>
      </c>
      <c r="H319" s="11">
        <f>IFERROR(VLOOKUP(G319,Paramètres!$B$6:$F$8,2,FALSE()),"")</f>
        <v>5</v>
      </c>
      <c r="I319" s="13" t="s">
        <v>54</v>
      </c>
      <c r="J319" s="11" t="s">
        <v>55</v>
      </c>
      <c r="K319" s="12">
        <v>46148</v>
      </c>
      <c r="L319" s="12">
        <v>46149</v>
      </c>
      <c r="M319" s="13"/>
      <c r="N319" s="14" t="s">
        <v>102</v>
      </c>
      <c r="O319" s="12">
        <v>46161</v>
      </c>
      <c r="P319" s="11">
        <f t="shared" si="24"/>
        <v>13</v>
      </c>
      <c r="Q319" s="11" t="str">
        <f t="shared" ca="1" si="25"/>
        <v>-</v>
      </c>
      <c r="R319" s="11">
        <f>IFERROR(VLOOKUP(G319,Paramètres!$B$6:$F$8,3,FALSE()),"")</f>
        <v>2</v>
      </c>
      <c r="S319" s="11" t="str">
        <f t="shared" ca="1" si="26"/>
        <v>-</v>
      </c>
      <c r="T319" s="12">
        <v>46163</v>
      </c>
      <c r="U319" s="11">
        <f t="shared" si="27"/>
        <v>2</v>
      </c>
      <c r="V319" s="11">
        <f t="shared" si="28"/>
        <v>8</v>
      </c>
      <c r="W319" s="11" t="str">
        <f t="shared" si="29"/>
        <v>Hors délais</v>
      </c>
    </row>
    <row r="320" spans="1:23">
      <c r="A320" s="11">
        <v>304</v>
      </c>
      <c r="B320" s="12">
        <v>46148</v>
      </c>
      <c r="C320" s="13" t="s">
        <v>853</v>
      </c>
      <c r="D320" s="13" t="s">
        <v>230</v>
      </c>
      <c r="E320" s="13" t="s">
        <v>854</v>
      </c>
      <c r="F320" s="13" t="s">
        <v>855</v>
      </c>
      <c r="G320" s="11" t="s">
        <v>84</v>
      </c>
      <c r="H320" s="11">
        <f>IFERROR(VLOOKUP(G320,Paramètres!$B$6:$F$8,2,FALSE()),"")</f>
        <v>5</v>
      </c>
      <c r="I320" s="13" t="s">
        <v>190</v>
      </c>
      <c r="J320" s="11" t="s">
        <v>48</v>
      </c>
      <c r="K320" s="12">
        <v>46148</v>
      </c>
      <c r="L320" s="12">
        <v>46148</v>
      </c>
      <c r="M320" s="13" t="s">
        <v>49</v>
      </c>
      <c r="N320" s="14" t="s">
        <v>121</v>
      </c>
      <c r="O320" s="12">
        <v>46161</v>
      </c>
      <c r="P320" s="11">
        <f t="shared" si="24"/>
        <v>13</v>
      </c>
      <c r="Q320" s="11" t="str">
        <f t="shared" ca="1" si="25"/>
        <v>-</v>
      </c>
      <c r="R320" s="11">
        <f>IFERROR(VLOOKUP(G320,Paramètres!$B$6:$F$8,3,FALSE()),"")</f>
        <v>2</v>
      </c>
      <c r="S320" s="11" t="str">
        <f t="shared" ca="1" si="26"/>
        <v>-</v>
      </c>
      <c r="T320" s="12">
        <v>46164</v>
      </c>
      <c r="U320" s="11">
        <f t="shared" si="27"/>
        <v>3</v>
      </c>
      <c r="V320" s="11">
        <f t="shared" si="28"/>
        <v>9</v>
      </c>
      <c r="W320" s="11" t="str">
        <f t="shared" si="29"/>
        <v>Hors délais</v>
      </c>
    </row>
    <row r="321" spans="1:23" ht="28.5">
      <c r="A321" s="11">
        <v>305</v>
      </c>
      <c r="B321" s="12">
        <v>46148</v>
      </c>
      <c r="C321" s="13" t="s">
        <v>856</v>
      </c>
      <c r="D321" s="13" t="s">
        <v>178</v>
      </c>
      <c r="E321" s="13"/>
      <c r="F321" s="13" t="s">
        <v>857</v>
      </c>
      <c r="G321" s="11" t="s">
        <v>39</v>
      </c>
      <c r="H321" s="11">
        <f>IFERROR(VLOOKUP(G321,Paramètres!$B$6:$F$8,2,FALSE()),"")</f>
        <v>5</v>
      </c>
      <c r="I321" s="13" t="s">
        <v>40</v>
      </c>
      <c r="J321" s="11" t="s">
        <v>41</v>
      </c>
      <c r="K321" s="12">
        <v>46148</v>
      </c>
      <c r="L321" s="12">
        <v>46148</v>
      </c>
      <c r="M321" s="13" t="s">
        <v>75</v>
      </c>
      <c r="N321" s="14" t="s">
        <v>87</v>
      </c>
      <c r="O321" s="12">
        <v>46161</v>
      </c>
      <c r="P321" s="11">
        <f t="shared" si="24"/>
        <v>13</v>
      </c>
      <c r="Q321" s="11" t="str">
        <f t="shared" ca="1" si="25"/>
        <v>-</v>
      </c>
      <c r="R321" s="11">
        <f>IFERROR(VLOOKUP(G321,Paramètres!$B$6:$F$8,3,FALSE()),"")</f>
        <v>2</v>
      </c>
      <c r="S321" s="11" t="str">
        <f t="shared" ca="1" si="26"/>
        <v>-</v>
      </c>
      <c r="T321" s="12">
        <v>46163</v>
      </c>
      <c r="U321" s="11">
        <f t="shared" si="27"/>
        <v>2</v>
      </c>
      <c r="V321" s="11">
        <f t="shared" si="28"/>
        <v>8</v>
      </c>
      <c r="W321" s="11" t="str">
        <f t="shared" si="29"/>
        <v>Hors délais</v>
      </c>
    </row>
    <row r="322" spans="1:23">
      <c r="A322" s="11">
        <v>306</v>
      </c>
      <c r="B322" s="12">
        <v>46149</v>
      </c>
      <c r="C322" s="13" t="s">
        <v>858</v>
      </c>
      <c r="D322" s="13" t="s">
        <v>68</v>
      </c>
      <c r="E322" s="13" t="s">
        <v>859</v>
      </c>
      <c r="F322" s="13" t="s">
        <v>860</v>
      </c>
      <c r="G322" s="11" t="s">
        <v>39</v>
      </c>
      <c r="H322" s="11">
        <f>IFERROR(VLOOKUP(G322,Paramètres!$B$6:$F$8,2,FALSE()),"")</f>
        <v>5</v>
      </c>
      <c r="I322" s="13" t="s">
        <v>65</v>
      </c>
      <c r="J322" s="11" t="s">
        <v>55</v>
      </c>
      <c r="K322" s="12">
        <v>46149</v>
      </c>
      <c r="L322" s="12">
        <v>46149</v>
      </c>
      <c r="M322" s="13"/>
      <c r="N322" s="14" t="s">
        <v>102</v>
      </c>
      <c r="O322" s="12">
        <v>46157</v>
      </c>
      <c r="P322" s="11">
        <f t="shared" si="24"/>
        <v>8</v>
      </c>
      <c r="Q322" s="11" t="str">
        <f t="shared" ca="1" si="25"/>
        <v>-</v>
      </c>
      <c r="R322" s="11">
        <f>IFERROR(VLOOKUP(G322,Paramètres!$B$6:$F$8,3,FALSE()),"")</f>
        <v>2</v>
      </c>
      <c r="S322" s="11" t="str">
        <f t="shared" ca="1" si="26"/>
        <v>-</v>
      </c>
      <c r="T322" s="12">
        <v>46160</v>
      </c>
      <c r="U322" s="11">
        <f t="shared" si="27"/>
        <v>3</v>
      </c>
      <c r="V322" s="11">
        <f t="shared" si="28"/>
        <v>4</v>
      </c>
      <c r="W322" s="11" t="str">
        <f t="shared" si="29"/>
        <v>Hors délais</v>
      </c>
    </row>
    <row r="323" spans="1:23">
      <c r="A323" s="11">
        <v>307</v>
      </c>
      <c r="B323" s="12">
        <v>46149</v>
      </c>
      <c r="C323" s="13" t="s">
        <v>861</v>
      </c>
      <c r="D323" s="13" t="s">
        <v>118</v>
      </c>
      <c r="E323" s="13"/>
      <c r="F323" s="13" t="s">
        <v>862</v>
      </c>
      <c r="G323" s="11" t="s">
        <v>39</v>
      </c>
      <c r="H323" s="11">
        <f>IFERROR(VLOOKUP(G323,Paramètres!$B$6:$F$8,2,FALSE()),"")</f>
        <v>5</v>
      </c>
      <c r="I323" s="13" t="s">
        <v>94</v>
      </c>
      <c r="J323" s="11" t="s">
        <v>55</v>
      </c>
      <c r="K323" s="12">
        <v>46149</v>
      </c>
      <c r="L323" s="12">
        <v>46149</v>
      </c>
      <c r="M323" s="13" t="s">
        <v>61</v>
      </c>
      <c r="N323" s="14" t="s">
        <v>102</v>
      </c>
      <c r="O323" s="12">
        <v>46153</v>
      </c>
      <c r="P323" s="11">
        <f t="shared" si="24"/>
        <v>4</v>
      </c>
      <c r="Q323" s="11" t="str">
        <f t="shared" ca="1" si="25"/>
        <v>-</v>
      </c>
      <c r="R323" s="11">
        <f>IFERROR(VLOOKUP(G323,Paramètres!$B$6:$F$8,3,FALSE()),"")</f>
        <v>2</v>
      </c>
      <c r="S323" s="11" t="str">
        <f t="shared" ca="1" si="26"/>
        <v>-</v>
      </c>
      <c r="T323" s="12">
        <v>46155</v>
      </c>
      <c r="U323" s="11">
        <f t="shared" si="27"/>
        <v>2</v>
      </c>
      <c r="V323" s="11">
        <f t="shared" si="28"/>
        <v>-1</v>
      </c>
      <c r="W323" s="11" t="str">
        <f t="shared" si="29"/>
        <v>Dans les délais</v>
      </c>
    </row>
    <row r="324" spans="1:23">
      <c r="A324" s="11">
        <v>308</v>
      </c>
      <c r="B324" s="12">
        <v>46149</v>
      </c>
      <c r="C324" s="13" t="s">
        <v>863</v>
      </c>
      <c r="D324" s="13" t="s">
        <v>104</v>
      </c>
      <c r="E324" s="13"/>
      <c r="F324" s="13" t="s">
        <v>864</v>
      </c>
      <c r="G324" s="11" t="s">
        <v>39</v>
      </c>
      <c r="H324" s="11">
        <f>IFERROR(VLOOKUP(G324,Paramètres!$B$6:$F$8,2,FALSE()),"")</f>
        <v>5</v>
      </c>
      <c r="I324" s="13" t="s">
        <v>85</v>
      </c>
      <c r="J324" s="11" t="s">
        <v>41</v>
      </c>
      <c r="K324" s="12">
        <v>46150</v>
      </c>
      <c r="L324" s="12">
        <v>46150</v>
      </c>
      <c r="M324" s="13" t="s">
        <v>56</v>
      </c>
      <c r="N324" s="14" t="s">
        <v>43</v>
      </c>
      <c r="O324" s="12">
        <v>46154</v>
      </c>
      <c r="P324" s="11">
        <f t="shared" si="24"/>
        <v>5</v>
      </c>
      <c r="Q324" s="11" t="str">
        <f t="shared" ca="1" si="25"/>
        <v>-</v>
      </c>
      <c r="R324" s="11">
        <f>IFERROR(VLOOKUP(G324,Paramètres!$B$6:$F$8,3,FALSE()),"")</f>
        <v>2</v>
      </c>
      <c r="S324" s="11" t="str">
        <f t="shared" ca="1" si="26"/>
        <v>-</v>
      </c>
      <c r="T324" s="12">
        <v>46157</v>
      </c>
      <c r="U324" s="11">
        <f t="shared" si="27"/>
        <v>3</v>
      </c>
      <c r="V324" s="11">
        <f t="shared" si="28"/>
        <v>1</v>
      </c>
      <c r="W324" s="11" t="str">
        <f t="shared" si="29"/>
        <v>Hors délais</v>
      </c>
    </row>
    <row r="325" spans="1:23">
      <c r="A325" s="11">
        <v>309</v>
      </c>
      <c r="B325" s="12">
        <v>46149</v>
      </c>
      <c r="C325" s="13" t="s">
        <v>865</v>
      </c>
      <c r="D325" s="13" t="s">
        <v>68</v>
      </c>
      <c r="E325" s="13" t="s">
        <v>866</v>
      </c>
      <c r="F325" s="13" t="s">
        <v>867</v>
      </c>
      <c r="G325" s="11" t="s">
        <v>53</v>
      </c>
      <c r="H325" s="11" t="str">
        <f>IFERROR(VLOOKUP(G325,Paramètres!$B$6:$F$8,2,FALSE()),"")</f>
        <v>N/A</v>
      </c>
      <c r="I325" s="13" t="s">
        <v>98</v>
      </c>
      <c r="J325" s="11" t="s">
        <v>41</v>
      </c>
      <c r="K325" s="12">
        <v>46150</v>
      </c>
      <c r="L325" s="12">
        <v>46150</v>
      </c>
      <c r="M325" s="13" t="s">
        <v>56</v>
      </c>
      <c r="N325" s="14" t="s">
        <v>43</v>
      </c>
      <c r="O325" s="12"/>
      <c r="P325" s="11" t="str">
        <f t="shared" si="24"/>
        <v>-</v>
      </c>
      <c r="Q325" s="11" t="str">
        <f t="shared" ca="1" si="25"/>
        <v>-</v>
      </c>
      <c r="R325" s="11" t="str">
        <f>IFERROR(VLOOKUP(G325,Paramètres!$B$6:$F$8,3,FALSE()),"")</f>
        <v>N/A</v>
      </c>
      <c r="S325" s="11" t="str">
        <f t="shared" ca="1" si="26"/>
        <v>-</v>
      </c>
      <c r="T325" s="12"/>
      <c r="U325" s="11" t="str">
        <f t="shared" si="27"/>
        <v>-</v>
      </c>
      <c r="V325" s="11" t="str">
        <f t="shared" si="28"/>
        <v>-</v>
      </c>
      <c r="W325" s="11" t="str">
        <f t="shared" si="29"/>
        <v>Ne nécessite pas de réponse</v>
      </c>
    </row>
    <row r="326" spans="1:23">
      <c r="A326" s="11">
        <v>310</v>
      </c>
      <c r="B326" s="12">
        <v>46154</v>
      </c>
      <c r="C326" s="13" t="s">
        <v>868</v>
      </c>
      <c r="D326" s="13" t="s">
        <v>175</v>
      </c>
      <c r="E326" s="13"/>
      <c r="F326" s="13" t="s">
        <v>869</v>
      </c>
      <c r="G326" s="11" t="s">
        <v>39</v>
      </c>
      <c r="H326" s="11">
        <f>IFERROR(VLOOKUP(G326,Paramètres!$B$6:$F$8,2,FALSE()),"")</f>
        <v>5</v>
      </c>
      <c r="I326" s="13" t="s">
        <v>426</v>
      </c>
      <c r="J326" s="11" t="s">
        <v>41</v>
      </c>
      <c r="K326" s="12">
        <v>46154</v>
      </c>
      <c r="L326" s="12">
        <v>46155</v>
      </c>
      <c r="M326" s="13" t="s">
        <v>86</v>
      </c>
      <c r="N326" s="14" t="s">
        <v>43</v>
      </c>
      <c r="O326" s="12">
        <v>46157</v>
      </c>
      <c r="P326" s="11">
        <f t="shared" si="24"/>
        <v>3</v>
      </c>
      <c r="Q326" s="11" t="str">
        <f t="shared" ca="1" si="25"/>
        <v>-</v>
      </c>
      <c r="R326" s="11">
        <f>IFERROR(VLOOKUP(G326,Paramètres!$B$6:$F$8,3,FALSE()),"")</f>
        <v>2</v>
      </c>
      <c r="S326" s="11" t="str">
        <f t="shared" ca="1" si="26"/>
        <v>-</v>
      </c>
      <c r="T326" s="12">
        <v>46164</v>
      </c>
      <c r="U326" s="11">
        <f t="shared" si="27"/>
        <v>7</v>
      </c>
      <c r="V326" s="11">
        <f t="shared" si="28"/>
        <v>3</v>
      </c>
      <c r="W326" s="11" t="str">
        <f t="shared" si="29"/>
        <v>Hors délais</v>
      </c>
    </row>
    <row r="327" spans="1:23">
      <c r="A327" s="11">
        <v>311</v>
      </c>
      <c r="B327" s="12">
        <v>46155</v>
      </c>
      <c r="C327" s="13" t="s">
        <v>870</v>
      </c>
      <c r="D327" s="13" t="s">
        <v>104</v>
      </c>
      <c r="E327" s="13" t="s">
        <v>871</v>
      </c>
      <c r="F327" s="13" t="s">
        <v>872</v>
      </c>
      <c r="G327" s="11" t="s">
        <v>84</v>
      </c>
      <c r="H327" s="11">
        <f>IFERROR(VLOOKUP(G327,Paramètres!$B$6:$F$8,2,FALSE()),"")</f>
        <v>5</v>
      </c>
      <c r="I327" s="13" t="s">
        <v>240</v>
      </c>
      <c r="J327" s="11" t="s">
        <v>55</v>
      </c>
      <c r="K327" s="12">
        <v>46155</v>
      </c>
      <c r="L327" s="12">
        <v>46155</v>
      </c>
      <c r="M327" s="13"/>
      <c r="N327" s="14" t="s">
        <v>57</v>
      </c>
      <c r="O327" s="12">
        <v>46157</v>
      </c>
      <c r="P327" s="11">
        <f t="shared" si="24"/>
        <v>2</v>
      </c>
      <c r="Q327" s="11" t="str">
        <f t="shared" ca="1" si="25"/>
        <v>-</v>
      </c>
      <c r="R327" s="11">
        <f>IFERROR(VLOOKUP(G327,Paramètres!$B$6:$F$8,3,FALSE()),"")</f>
        <v>2</v>
      </c>
      <c r="S327" s="11" t="str">
        <f t="shared" ca="1" si="26"/>
        <v>-</v>
      </c>
      <c r="T327" s="12">
        <v>46160</v>
      </c>
      <c r="U327" s="11">
        <f t="shared" si="27"/>
        <v>3</v>
      </c>
      <c r="V327" s="11">
        <f t="shared" si="28"/>
        <v>-2</v>
      </c>
      <c r="W327" s="11" t="str">
        <f t="shared" si="29"/>
        <v>Dans les délais</v>
      </c>
    </row>
    <row r="328" spans="1:23">
      <c r="A328" s="11">
        <v>312</v>
      </c>
      <c r="B328" s="12">
        <v>46155</v>
      </c>
      <c r="C328" s="13" t="s">
        <v>873</v>
      </c>
      <c r="D328" s="13" t="s">
        <v>115</v>
      </c>
      <c r="E328" s="13"/>
      <c r="F328" s="13" t="s">
        <v>874</v>
      </c>
      <c r="G328" s="11" t="s">
        <v>53</v>
      </c>
      <c r="H328" s="11" t="str">
        <f>IFERROR(VLOOKUP(G328,Paramètres!$B$6:$F$8,2,FALSE()),"")</f>
        <v>N/A</v>
      </c>
      <c r="I328" s="13" t="s">
        <v>240</v>
      </c>
      <c r="J328" s="11" t="s">
        <v>55</v>
      </c>
      <c r="K328" s="12">
        <v>46156</v>
      </c>
      <c r="L328" s="12">
        <v>46157</v>
      </c>
      <c r="M328" s="13"/>
      <c r="N328" s="14" t="s">
        <v>66</v>
      </c>
      <c r="O328" s="12"/>
      <c r="P328" s="11" t="str">
        <f t="shared" si="24"/>
        <v>-</v>
      </c>
      <c r="Q328" s="11" t="str">
        <f t="shared" ca="1" si="25"/>
        <v>-</v>
      </c>
      <c r="R328" s="11" t="str">
        <f>IFERROR(VLOOKUP(G328,Paramètres!$B$6:$F$8,3,FALSE()),"")</f>
        <v>N/A</v>
      </c>
      <c r="S328" s="11" t="str">
        <f t="shared" ca="1" si="26"/>
        <v>-</v>
      </c>
      <c r="T328" s="12"/>
      <c r="U328" s="11" t="str">
        <f t="shared" si="27"/>
        <v>-</v>
      </c>
      <c r="V328" s="11" t="str">
        <f t="shared" si="28"/>
        <v>-</v>
      </c>
      <c r="W328" s="11" t="str">
        <f t="shared" si="29"/>
        <v>Ne nécessite pas de réponse</v>
      </c>
    </row>
    <row r="329" spans="1:23">
      <c r="A329" s="11">
        <v>313</v>
      </c>
      <c r="B329" s="12">
        <v>46155</v>
      </c>
      <c r="C329" s="13" t="s">
        <v>875</v>
      </c>
      <c r="D329" s="13" t="s">
        <v>178</v>
      </c>
      <c r="E329" s="13"/>
      <c r="F329" s="13" t="s">
        <v>876</v>
      </c>
      <c r="G329" s="11" t="s">
        <v>53</v>
      </c>
      <c r="H329" s="11" t="str">
        <f>IFERROR(VLOOKUP(G329,Paramètres!$B$6:$F$8,2,FALSE()),"")</f>
        <v>N/A</v>
      </c>
      <c r="I329" s="13" t="s">
        <v>120</v>
      </c>
      <c r="J329" s="11" t="s">
        <v>48</v>
      </c>
      <c r="K329" s="12">
        <v>46155</v>
      </c>
      <c r="L329" s="12">
        <v>46155</v>
      </c>
      <c r="M329" s="13" t="s">
        <v>56</v>
      </c>
      <c r="N329" s="14" t="s">
        <v>50</v>
      </c>
      <c r="O329" s="12"/>
      <c r="P329" s="11" t="str">
        <f t="shared" si="24"/>
        <v>-</v>
      </c>
      <c r="Q329" s="11" t="str">
        <f t="shared" ca="1" si="25"/>
        <v>-</v>
      </c>
      <c r="R329" s="11" t="str">
        <f>IFERROR(VLOOKUP(G329,Paramètres!$B$6:$F$8,3,FALSE()),"")</f>
        <v>N/A</v>
      </c>
      <c r="S329" s="11" t="str">
        <f t="shared" ca="1" si="26"/>
        <v>-</v>
      </c>
      <c r="T329" s="12"/>
      <c r="U329" s="11" t="str">
        <f t="shared" si="27"/>
        <v>-</v>
      </c>
      <c r="V329" s="11" t="str">
        <f t="shared" si="28"/>
        <v>-</v>
      </c>
      <c r="W329" s="11" t="str">
        <f t="shared" si="29"/>
        <v>Ne nécessite pas de réponse</v>
      </c>
    </row>
    <row r="330" spans="1:23">
      <c r="A330" s="11">
        <v>314</v>
      </c>
      <c r="B330" s="12">
        <v>46155</v>
      </c>
      <c r="C330" s="13" t="s">
        <v>877</v>
      </c>
      <c r="D330" s="13" t="s">
        <v>45</v>
      </c>
      <c r="E330" s="13" t="s">
        <v>878</v>
      </c>
      <c r="F330" s="13" t="s">
        <v>879</v>
      </c>
      <c r="G330" s="11" t="s">
        <v>39</v>
      </c>
      <c r="H330" s="11">
        <f>IFERROR(VLOOKUP(G330,Paramètres!$B$6:$F$8,2,FALSE()),"")</f>
        <v>5</v>
      </c>
      <c r="I330" s="13" t="s">
        <v>228</v>
      </c>
      <c r="J330" s="11" t="s">
        <v>55</v>
      </c>
      <c r="K330" s="12">
        <v>46155</v>
      </c>
      <c r="L330" s="12">
        <v>46156</v>
      </c>
      <c r="M330" s="13" t="s">
        <v>49</v>
      </c>
      <c r="N330" s="14" t="s">
        <v>57</v>
      </c>
      <c r="O330" s="12">
        <v>46163</v>
      </c>
      <c r="P330" s="11">
        <f t="shared" si="24"/>
        <v>8</v>
      </c>
      <c r="Q330" s="11" t="str">
        <f t="shared" ca="1" si="25"/>
        <v>-</v>
      </c>
      <c r="R330" s="11">
        <f>IFERROR(VLOOKUP(G330,Paramètres!$B$6:$F$8,3,FALSE()),"")</f>
        <v>2</v>
      </c>
      <c r="S330" s="11" t="str">
        <f t="shared" ca="1" si="26"/>
        <v>-</v>
      </c>
      <c r="T330" s="12">
        <v>46164</v>
      </c>
      <c r="U330" s="11">
        <f t="shared" si="27"/>
        <v>1</v>
      </c>
      <c r="V330" s="11">
        <f t="shared" si="28"/>
        <v>2</v>
      </c>
      <c r="W330" s="11" t="str">
        <f t="shared" si="29"/>
        <v>Hors délais</v>
      </c>
    </row>
    <row r="331" spans="1:23">
      <c r="A331" s="11">
        <v>315</v>
      </c>
      <c r="B331" s="12">
        <v>46155</v>
      </c>
      <c r="C331" s="13" t="s">
        <v>880</v>
      </c>
      <c r="D331" s="13" t="s">
        <v>37</v>
      </c>
      <c r="E331" s="13"/>
      <c r="F331" s="13" t="s">
        <v>881</v>
      </c>
      <c r="G331" s="11" t="s">
        <v>39</v>
      </c>
      <c r="H331" s="11">
        <f>IFERROR(VLOOKUP(G331,Paramètres!$B$6:$F$8,2,FALSE()),"")</f>
        <v>5</v>
      </c>
      <c r="I331" s="13" t="s">
        <v>120</v>
      </c>
      <c r="J331" s="11" t="s">
        <v>48</v>
      </c>
      <c r="K331" s="12">
        <v>46155</v>
      </c>
      <c r="L331" s="12">
        <v>46155</v>
      </c>
      <c r="M331" s="13" t="s">
        <v>61</v>
      </c>
      <c r="N331" s="14" t="s">
        <v>121</v>
      </c>
      <c r="O331" s="12">
        <v>46164</v>
      </c>
      <c r="P331" s="11">
        <f t="shared" si="24"/>
        <v>9</v>
      </c>
      <c r="Q331" s="11" t="str">
        <f t="shared" ca="1" si="25"/>
        <v>-</v>
      </c>
      <c r="R331" s="11">
        <f>IFERROR(VLOOKUP(G331,Paramètres!$B$6:$F$8,3,FALSE()),"")</f>
        <v>2</v>
      </c>
      <c r="S331" s="11" t="str">
        <f t="shared" ca="1" si="26"/>
        <v>-</v>
      </c>
      <c r="T331" s="12">
        <v>46167</v>
      </c>
      <c r="U331" s="11">
        <f t="shared" si="27"/>
        <v>3</v>
      </c>
      <c r="V331" s="11">
        <f t="shared" si="28"/>
        <v>5</v>
      </c>
      <c r="W331" s="11" t="str">
        <f t="shared" si="29"/>
        <v>Hors délais</v>
      </c>
    </row>
    <row r="332" spans="1:23">
      <c r="A332" s="11">
        <v>316</v>
      </c>
      <c r="B332" s="12">
        <v>46156</v>
      </c>
      <c r="C332" s="13" t="s">
        <v>882</v>
      </c>
      <c r="D332" s="13" t="s">
        <v>248</v>
      </c>
      <c r="E332" s="13"/>
      <c r="F332" s="13" t="s">
        <v>883</v>
      </c>
      <c r="G332" s="11" t="s">
        <v>39</v>
      </c>
      <c r="H332" s="11">
        <f>IFERROR(VLOOKUP(G332,Paramètres!$B$6:$F$8,2,FALSE()),"")</f>
        <v>5</v>
      </c>
      <c r="I332" s="13" t="s">
        <v>120</v>
      </c>
      <c r="J332" s="11" t="s">
        <v>48</v>
      </c>
      <c r="K332" s="12">
        <v>46157</v>
      </c>
      <c r="L332" s="12">
        <v>46157</v>
      </c>
      <c r="M332" s="13" t="s">
        <v>49</v>
      </c>
      <c r="N332" s="14" t="s">
        <v>121</v>
      </c>
      <c r="O332" s="12">
        <v>46163</v>
      </c>
      <c r="P332" s="11">
        <f t="shared" si="24"/>
        <v>7</v>
      </c>
      <c r="Q332" s="11" t="str">
        <f t="shared" ca="1" si="25"/>
        <v>-</v>
      </c>
      <c r="R332" s="11">
        <f>IFERROR(VLOOKUP(G332,Paramètres!$B$6:$F$8,3,FALSE()),"")</f>
        <v>2</v>
      </c>
      <c r="S332" s="11" t="str">
        <f t="shared" ca="1" si="26"/>
        <v>-</v>
      </c>
      <c r="T332" s="12">
        <v>46164</v>
      </c>
      <c r="U332" s="11">
        <f t="shared" si="27"/>
        <v>1</v>
      </c>
      <c r="V332" s="11">
        <f t="shared" si="28"/>
        <v>1</v>
      </c>
      <c r="W332" s="11" t="str">
        <f t="shared" si="29"/>
        <v>Hors délais</v>
      </c>
    </row>
    <row r="333" spans="1:23">
      <c r="A333" s="11">
        <v>317</v>
      </c>
      <c r="B333" s="12">
        <v>46156</v>
      </c>
      <c r="C333" s="13" t="s">
        <v>884</v>
      </c>
      <c r="D333" s="13" t="s">
        <v>45</v>
      </c>
      <c r="E333" s="13"/>
      <c r="F333" s="13" t="s">
        <v>885</v>
      </c>
      <c r="G333" s="11" t="s">
        <v>39</v>
      </c>
      <c r="H333" s="11">
        <f>IFERROR(VLOOKUP(G333,Paramètres!$B$6:$F$8,2,FALSE()),"")</f>
        <v>5</v>
      </c>
      <c r="I333" s="13" t="s">
        <v>155</v>
      </c>
      <c r="J333" s="11" t="s">
        <v>48</v>
      </c>
      <c r="K333" s="12">
        <v>46156</v>
      </c>
      <c r="L333" s="12">
        <v>46156</v>
      </c>
      <c r="M333" s="13" t="s">
        <v>61</v>
      </c>
      <c r="N333" s="14" t="s">
        <v>121</v>
      </c>
      <c r="O333" s="12">
        <v>46164</v>
      </c>
      <c r="P333" s="11">
        <f t="shared" si="24"/>
        <v>8</v>
      </c>
      <c r="Q333" s="11" t="str">
        <f t="shared" ca="1" si="25"/>
        <v>-</v>
      </c>
      <c r="R333" s="11">
        <f>IFERROR(VLOOKUP(G333,Paramètres!$B$6:$F$8,3,FALSE()),"")</f>
        <v>2</v>
      </c>
      <c r="S333" s="11" t="str">
        <f t="shared" ca="1" si="26"/>
        <v>-</v>
      </c>
      <c r="T333" s="12">
        <v>46169</v>
      </c>
      <c r="U333" s="11">
        <f t="shared" si="27"/>
        <v>5</v>
      </c>
      <c r="V333" s="11">
        <f t="shared" si="28"/>
        <v>6</v>
      </c>
      <c r="W333" s="11" t="str">
        <f t="shared" si="29"/>
        <v>Hors délais</v>
      </c>
    </row>
    <row r="334" spans="1:23">
      <c r="A334" s="11">
        <v>318</v>
      </c>
      <c r="B334" s="12">
        <v>46157</v>
      </c>
      <c r="C334" s="13" t="s">
        <v>886</v>
      </c>
      <c r="D334" s="13" t="s">
        <v>115</v>
      </c>
      <c r="E334" s="13"/>
      <c r="F334" s="13" t="s">
        <v>887</v>
      </c>
      <c r="G334" s="11" t="s">
        <v>39</v>
      </c>
      <c r="H334" s="11">
        <f>IFERROR(VLOOKUP(G334,Paramètres!$B$6:$F$8,2,FALSE()),"")</f>
        <v>5</v>
      </c>
      <c r="I334" s="13" t="s">
        <v>240</v>
      </c>
      <c r="J334" s="11" t="s">
        <v>55</v>
      </c>
      <c r="K334" s="12">
        <v>46157</v>
      </c>
      <c r="L334" s="12">
        <v>46157</v>
      </c>
      <c r="M334" s="13" t="s">
        <v>86</v>
      </c>
      <c r="N334" s="14" t="s">
        <v>57</v>
      </c>
      <c r="O334" s="12">
        <v>46167</v>
      </c>
      <c r="P334" s="11">
        <f t="shared" si="24"/>
        <v>10</v>
      </c>
      <c r="Q334" s="11" t="str">
        <f t="shared" ca="1" si="25"/>
        <v>-</v>
      </c>
      <c r="R334" s="11">
        <f>IFERROR(VLOOKUP(G334,Paramètres!$B$6:$F$8,3,FALSE()),"")</f>
        <v>2</v>
      </c>
      <c r="S334" s="11" t="str">
        <f t="shared" ca="1" si="26"/>
        <v>-</v>
      </c>
      <c r="T334" s="12">
        <v>46174</v>
      </c>
      <c r="U334" s="11">
        <f t="shared" si="27"/>
        <v>7</v>
      </c>
      <c r="V334" s="11">
        <f t="shared" si="28"/>
        <v>10</v>
      </c>
      <c r="W334" s="11" t="str">
        <f t="shared" si="29"/>
        <v>Hors délais</v>
      </c>
    </row>
    <row r="335" spans="1:23">
      <c r="A335" s="11">
        <v>319</v>
      </c>
      <c r="B335" s="12">
        <v>46160</v>
      </c>
      <c r="C335" s="13" t="s">
        <v>888</v>
      </c>
      <c r="D335" s="13" t="s">
        <v>248</v>
      </c>
      <c r="E335" s="13"/>
      <c r="F335" s="13" t="s">
        <v>889</v>
      </c>
      <c r="G335" s="11" t="s">
        <v>39</v>
      </c>
      <c r="H335" s="11">
        <f>IFERROR(VLOOKUP(G335,Paramètres!$B$6:$F$8,2,FALSE()),"")</f>
        <v>5</v>
      </c>
      <c r="I335" s="13" t="s">
        <v>120</v>
      </c>
      <c r="J335" s="11" t="s">
        <v>48</v>
      </c>
      <c r="K335" s="12">
        <v>46160</v>
      </c>
      <c r="L335" s="12">
        <v>46160</v>
      </c>
      <c r="M335" s="13" t="s">
        <v>61</v>
      </c>
      <c r="N335" s="14" t="s">
        <v>121</v>
      </c>
      <c r="O335" s="12">
        <v>46171</v>
      </c>
      <c r="P335" s="11">
        <f t="shared" si="24"/>
        <v>11</v>
      </c>
      <c r="Q335" s="11" t="str">
        <f t="shared" ca="1" si="25"/>
        <v>-</v>
      </c>
      <c r="R335" s="11">
        <f>IFERROR(VLOOKUP(G335,Paramètres!$B$6:$F$8,3,FALSE()),"")</f>
        <v>2</v>
      </c>
      <c r="S335" s="11" t="str">
        <f t="shared" ca="1" si="26"/>
        <v>-</v>
      </c>
      <c r="T335" s="12">
        <v>46175</v>
      </c>
      <c r="U335" s="11">
        <f t="shared" si="27"/>
        <v>4</v>
      </c>
      <c r="V335" s="11">
        <f t="shared" si="28"/>
        <v>8</v>
      </c>
      <c r="W335" s="11" t="str">
        <f t="shared" si="29"/>
        <v>Hors délais</v>
      </c>
    </row>
    <row r="336" spans="1:23">
      <c r="A336" s="11">
        <v>320</v>
      </c>
      <c r="B336" s="12">
        <v>46160</v>
      </c>
      <c r="C336" s="13" t="s">
        <v>890</v>
      </c>
      <c r="D336" s="13" t="s">
        <v>175</v>
      </c>
      <c r="E336" s="13" t="s">
        <v>891</v>
      </c>
      <c r="F336" s="13" t="s">
        <v>892</v>
      </c>
      <c r="G336" s="11" t="s">
        <v>84</v>
      </c>
      <c r="H336" s="11">
        <f>IFERROR(VLOOKUP(G336,Paramètres!$B$6:$F$8,2,FALSE()),"")</f>
        <v>5</v>
      </c>
      <c r="I336" s="13" t="s">
        <v>190</v>
      </c>
      <c r="J336" s="11" t="s">
        <v>48</v>
      </c>
      <c r="K336" s="12">
        <v>46160</v>
      </c>
      <c r="L336" s="12">
        <v>46160</v>
      </c>
      <c r="M336" s="13" t="s">
        <v>49</v>
      </c>
      <c r="N336" s="14" t="s">
        <v>121</v>
      </c>
      <c r="O336" s="12">
        <v>46169</v>
      </c>
      <c r="P336" s="11">
        <f t="shared" si="24"/>
        <v>9</v>
      </c>
      <c r="Q336" s="11" t="str">
        <f t="shared" ca="1" si="25"/>
        <v>-</v>
      </c>
      <c r="R336" s="11">
        <f>IFERROR(VLOOKUP(G336,Paramètres!$B$6:$F$8,3,FALSE()),"")</f>
        <v>2</v>
      </c>
      <c r="S336" s="11" t="str">
        <f t="shared" ca="1" si="26"/>
        <v>-</v>
      </c>
      <c r="T336" s="12">
        <v>46174</v>
      </c>
      <c r="U336" s="11">
        <f t="shared" si="27"/>
        <v>5</v>
      </c>
      <c r="V336" s="11">
        <f t="shared" si="28"/>
        <v>7</v>
      </c>
      <c r="W336" s="11" t="str">
        <f t="shared" si="29"/>
        <v>Hors délais</v>
      </c>
    </row>
    <row r="337" spans="1:23">
      <c r="A337" s="11">
        <v>321</v>
      </c>
      <c r="B337" s="12">
        <v>46160</v>
      </c>
      <c r="C337" s="13" t="s">
        <v>893</v>
      </c>
      <c r="D337" s="13" t="s">
        <v>345</v>
      </c>
      <c r="E337" s="13"/>
      <c r="F337" s="13" t="s">
        <v>894</v>
      </c>
      <c r="G337" s="11" t="s">
        <v>84</v>
      </c>
      <c r="H337" s="11">
        <f>IFERROR(VLOOKUP(G337,Paramètres!$B$6:$F$8,2,FALSE()),"")</f>
        <v>5</v>
      </c>
      <c r="I337" s="13" t="s">
        <v>85</v>
      </c>
      <c r="J337" s="11" t="s">
        <v>41</v>
      </c>
      <c r="K337" s="12">
        <v>46161</v>
      </c>
      <c r="L337" s="12">
        <v>46161</v>
      </c>
      <c r="M337" s="13" t="s">
        <v>49</v>
      </c>
      <c r="N337" s="14" t="s">
        <v>76</v>
      </c>
      <c r="O337" s="12"/>
      <c r="P337" s="11" t="str">
        <f t="shared" ref="P337:P400" si="30">IF(G337="Ne nécessite pas de réponse","-",IF(AND(ISNUMBER(B337),ISNUMBER(O337)),O337-B337,""))</f>
        <v/>
      </c>
      <c r="Q337" s="11" t="str">
        <f t="shared" ref="Q337:Q400" ca="1" si="31">IF(G337="Ne nécessite pas de réponse","-",IF(O337&lt;&gt;"","-",IF(OR(B337="",H337="",NOT(ISNUMBER(H337)),H337=0),"",IF((TODAY()-B337)/H337&lt;=0.5,"VERT",IF((TODAY()-B337)/H337&lt;=0.8,"JAUNE","ROUGE")))))</f>
        <v>ROUGE</v>
      </c>
      <c r="R337" s="11">
        <f>IFERROR(VLOOKUP(G337,Paramètres!$B$6:$F$8,3,FALSE()),"")</f>
        <v>2</v>
      </c>
      <c r="S337" s="11" t="str">
        <f t="shared" ref="S337:S400" ca="1" si="32">IF(G337="Ne nécessite pas de réponse","-",IF(O337="","",IF(T337&lt;&gt;"","-",IF(OR(R337="",NOT(ISNUMBER(R337)),R337=0),"",IF((TODAY()-O337)/R337&lt;=0.5,"VERT",IF((TODAY()-O337)/R337&lt;=0.8,"JAUNE","ROUGE"))))))</f>
        <v/>
      </c>
      <c r="T337" s="12"/>
      <c r="U337" s="11" t="str">
        <f t="shared" ref="U337:U400" si="33">IF(G337="Ne nécessite pas de réponse","-",IF(AND(ISNUMBER(O337),ISNUMBER(T337)),T337-O337,""))</f>
        <v/>
      </c>
      <c r="V337" s="11" t="str">
        <f t="shared" ref="V337:V400" si="34">IF(G337="Ne nécessite pas de réponse","-",IF(AND(ISNUMBER(T337),ISNUMBER(B337),ISNUMBER(H337),ISNUMBER(R337)),T337-(B337+H337+R337),""))</f>
        <v/>
      </c>
      <c r="W337" s="11" t="str">
        <f t="shared" ref="W337:W400" si="35">IF(G337="Ne nécessite pas de réponse","Ne nécessite pas de réponse",IF(T337="","",IF(V337&lt;=0,"Dans les délais","Hors délais")))</f>
        <v/>
      </c>
    </row>
    <row r="338" spans="1:23">
      <c r="A338" s="11">
        <v>322</v>
      </c>
      <c r="B338" s="12">
        <v>46161</v>
      </c>
      <c r="C338" s="13" t="s">
        <v>895</v>
      </c>
      <c r="D338" s="13" t="s">
        <v>137</v>
      </c>
      <c r="E338" s="13" t="s">
        <v>896</v>
      </c>
      <c r="F338" s="13" t="s">
        <v>897</v>
      </c>
      <c r="G338" s="11" t="s">
        <v>84</v>
      </c>
      <c r="H338" s="11">
        <f>IFERROR(VLOOKUP(G338,Paramètres!$B$6:$F$8,2,FALSE()),"")</f>
        <v>5</v>
      </c>
      <c r="I338" s="13" t="s">
        <v>228</v>
      </c>
      <c r="J338" s="11" t="s">
        <v>55</v>
      </c>
      <c r="K338" s="12">
        <v>46161</v>
      </c>
      <c r="L338" s="12">
        <v>46161</v>
      </c>
      <c r="M338" s="13" t="s">
        <v>49</v>
      </c>
      <c r="N338" s="14" t="s">
        <v>66</v>
      </c>
      <c r="O338" s="12">
        <v>46167</v>
      </c>
      <c r="P338" s="11">
        <f t="shared" si="30"/>
        <v>6</v>
      </c>
      <c r="Q338" s="11" t="str">
        <f t="shared" ca="1" si="31"/>
        <v>-</v>
      </c>
      <c r="R338" s="11">
        <f>IFERROR(VLOOKUP(G338,Paramètres!$B$6:$F$8,3,FALSE()),"")</f>
        <v>2</v>
      </c>
      <c r="S338" s="11" t="str">
        <f t="shared" ca="1" si="32"/>
        <v>-</v>
      </c>
      <c r="T338" s="12">
        <v>46170</v>
      </c>
      <c r="U338" s="11">
        <f t="shared" si="33"/>
        <v>3</v>
      </c>
      <c r="V338" s="11">
        <f t="shared" si="34"/>
        <v>2</v>
      </c>
      <c r="W338" s="11" t="str">
        <f t="shared" si="35"/>
        <v>Hors délais</v>
      </c>
    </row>
    <row r="339" spans="1:23">
      <c r="A339" s="11">
        <v>323</v>
      </c>
      <c r="B339" s="12">
        <v>46161</v>
      </c>
      <c r="C339" s="13" t="s">
        <v>898</v>
      </c>
      <c r="D339" s="13" t="s">
        <v>178</v>
      </c>
      <c r="E339" s="13"/>
      <c r="F339" s="13" t="s">
        <v>899</v>
      </c>
      <c r="G339" s="11" t="s">
        <v>39</v>
      </c>
      <c r="H339" s="11">
        <f>IFERROR(VLOOKUP(G339,Paramètres!$B$6:$F$8,2,FALSE()),"")</f>
        <v>5</v>
      </c>
      <c r="I339" s="13" t="s">
        <v>240</v>
      </c>
      <c r="J339" s="11" t="s">
        <v>55</v>
      </c>
      <c r="K339" s="12">
        <v>46161</v>
      </c>
      <c r="L339" s="12">
        <v>46162</v>
      </c>
      <c r="M339" s="13" t="s">
        <v>86</v>
      </c>
      <c r="N339" s="14" t="s">
        <v>66</v>
      </c>
      <c r="O339" s="12">
        <v>46164</v>
      </c>
      <c r="P339" s="11">
        <f t="shared" si="30"/>
        <v>3</v>
      </c>
      <c r="Q339" s="11" t="str">
        <f t="shared" ca="1" si="31"/>
        <v>-</v>
      </c>
      <c r="R339" s="11">
        <f>IFERROR(VLOOKUP(G339,Paramètres!$B$6:$F$8,3,FALSE()),"")</f>
        <v>2</v>
      </c>
      <c r="S339" s="11" t="str">
        <f t="shared" ca="1" si="32"/>
        <v>-</v>
      </c>
      <c r="T339" s="12">
        <v>46167</v>
      </c>
      <c r="U339" s="11">
        <f t="shared" si="33"/>
        <v>3</v>
      </c>
      <c r="V339" s="11">
        <f t="shared" si="34"/>
        <v>-1</v>
      </c>
      <c r="W339" s="11" t="str">
        <f t="shared" si="35"/>
        <v>Dans les délais</v>
      </c>
    </row>
    <row r="340" spans="1:23">
      <c r="A340" s="11">
        <v>324</v>
      </c>
      <c r="B340" s="12">
        <v>46163</v>
      </c>
      <c r="C340" s="13" t="s">
        <v>900</v>
      </c>
      <c r="D340" s="13" t="s">
        <v>345</v>
      </c>
      <c r="E340" s="13" t="s">
        <v>901</v>
      </c>
      <c r="F340" s="13" t="s">
        <v>902</v>
      </c>
      <c r="G340" s="11" t="s">
        <v>39</v>
      </c>
      <c r="H340" s="11">
        <f>IFERROR(VLOOKUP(G340,Paramètres!$B$6:$F$8,2,FALSE()),"")</f>
        <v>5</v>
      </c>
      <c r="I340" s="13" t="s">
        <v>228</v>
      </c>
      <c r="J340" s="11" t="s">
        <v>55</v>
      </c>
      <c r="K340" s="12">
        <v>46164</v>
      </c>
      <c r="L340" s="12">
        <v>46164</v>
      </c>
      <c r="M340" s="13" t="s">
        <v>86</v>
      </c>
      <c r="N340" s="14" t="s">
        <v>57</v>
      </c>
      <c r="O340" s="12">
        <v>46174</v>
      </c>
      <c r="P340" s="11">
        <f t="shared" si="30"/>
        <v>11</v>
      </c>
      <c r="Q340" s="11" t="str">
        <f t="shared" ca="1" si="31"/>
        <v>-</v>
      </c>
      <c r="R340" s="11">
        <f>IFERROR(VLOOKUP(G340,Paramètres!$B$6:$F$8,3,FALSE()),"")</f>
        <v>2</v>
      </c>
      <c r="S340" s="11" t="str">
        <f t="shared" ca="1" si="32"/>
        <v>-</v>
      </c>
      <c r="T340" s="12">
        <v>46175</v>
      </c>
      <c r="U340" s="11">
        <f t="shared" si="33"/>
        <v>1</v>
      </c>
      <c r="V340" s="11">
        <f t="shared" si="34"/>
        <v>5</v>
      </c>
      <c r="W340" s="11" t="str">
        <f t="shared" si="35"/>
        <v>Hors délais</v>
      </c>
    </row>
    <row r="341" spans="1:23">
      <c r="A341" s="11">
        <v>325</v>
      </c>
      <c r="B341" s="12">
        <v>46163</v>
      </c>
      <c r="C341" s="13" t="s">
        <v>903</v>
      </c>
      <c r="D341" s="13" t="s">
        <v>37</v>
      </c>
      <c r="E341" s="13" t="s">
        <v>904</v>
      </c>
      <c r="F341" s="13" t="s">
        <v>905</v>
      </c>
      <c r="G341" s="11" t="s">
        <v>84</v>
      </c>
      <c r="H341" s="11">
        <f>IFERROR(VLOOKUP(G341,Paramètres!$B$6:$F$8,2,FALSE()),"")</f>
        <v>5</v>
      </c>
      <c r="I341" s="13" t="s">
        <v>85</v>
      </c>
      <c r="J341" s="11" t="s">
        <v>41</v>
      </c>
      <c r="K341" s="12">
        <v>46163</v>
      </c>
      <c r="L341" s="12">
        <v>46163</v>
      </c>
      <c r="M341" s="13" t="s">
        <v>61</v>
      </c>
      <c r="N341" s="14" t="s">
        <v>87</v>
      </c>
      <c r="O341" s="12">
        <v>46170</v>
      </c>
      <c r="P341" s="11">
        <f t="shared" si="30"/>
        <v>7</v>
      </c>
      <c r="Q341" s="11" t="str">
        <f t="shared" ca="1" si="31"/>
        <v>-</v>
      </c>
      <c r="R341" s="11">
        <f>IFERROR(VLOOKUP(G341,Paramètres!$B$6:$F$8,3,FALSE()),"")</f>
        <v>2</v>
      </c>
      <c r="S341" s="11" t="str">
        <f t="shared" ca="1" si="32"/>
        <v>-</v>
      </c>
      <c r="T341" s="12">
        <v>46171</v>
      </c>
      <c r="U341" s="11">
        <f t="shared" si="33"/>
        <v>1</v>
      </c>
      <c r="V341" s="11">
        <f t="shared" si="34"/>
        <v>1</v>
      </c>
      <c r="W341" s="11" t="str">
        <f t="shared" si="35"/>
        <v>Hors délais</v>
      </c>
    </row>
    <row r="342" spans="1:23" ht="28.5">
      <c r="A342" s="11">
        <v>326</v>
      </c>
      <c r="B342" s="12">
        <v>46163</v>
      </c>
      <c r="C342" s="13" t="s">
        <v>906</v>
      </c>
      <c r="D342" s="13" t="s">
        <v>123</v>
      </c>
      <c r="E342" s="13" t="s">
        <v>907</v>
      </c>
      <c r="F342" s="13" t="s">
        <v>908</v>
      </c>
      <c r="G342" s="11" t="s">
        <v>53</v>
      </c>
      <c r="H342" s="11" t="str">
        <f>IFERROR(VLOOKUP(G342,Paramètres!$B$6:$F$8,2,FALSE()),"")</f>
        <v>N/A</v>
      </c>
      <c r="I342" s="13" t="s">
        <v>98</v>
      </c>
      <c r="J342" s="11" t="s">
        <v>41</v>
      </c>
      <c r="K342" s="12">
        <v>46163</v>
      </c>
      <c r="L342" s="12">
        <v>46163</v>
      </c>
      <c r="M342" s="13" t="s">
        <v>75</v>
      </c>
      <c r="N342" s="14" t="s">
        <v>43</v>
      </c>
      <c r="O342" s="12"/>
      <c r="P342" s="11" t="str">
        <f t="shared" si="30"/>
        <v>-</v>
      </c>
      <c r="Q342" s="11" t="str">
        <f t="shared" ca="1" si="31"/>
        <v>-</v>
      </c>
      <c r="R342" s="11" t="str">
        <f>IFERROR(VLOOKUP(G342,Paramètres!$B$6:$F$8,3,FALSE()),"")</f>
        <v>N/A</v>
      </c>
      <c r="S342" s="11" t="str">
        <f t="shared" ca="1" si="32"/>
        <v>-</v>
      </c>
      <c r="T342" s="12"/>
      <c r="U342" s="11" t="str">
        <f t="shared" si="33"/>
        <v>-</v>
      </c>
      <c r="V342" s="11" t="str">
        <f t="shared" si="34"/>
        <v>-</v>
      </c>
      <c r="W342" s="11" t="str">
        <f t="shared" si="35"/>
        <v>Ne nécessite pas de réponse</v>
      </c>
    </row>
    <row r="343" spans="1:23">
      <c r="A343" s="11">
        <v>327</v>
      </c>
      <c r="B343" s="12">
        <v>46163</v>
      </c>
      <c r="C343" s="13" t="s">
        <v>909</v>
      </c>
      <c r="D343" s="13" t="s">
        <v>137</v>
      </c>
      <c r="E343" s="13" t="s">
        <v>910</v>
      </c>
      <c r="F343" s="13" t="s">
        <v>911</v>
      </c>
      <c r="G343" s="11" t="s">
        <v>39</v>
      </c>
      <c r="H343" s="11">
        <f>IFERROR(VLOOKUP(G343,Paramètres!$B$6:$F$8,2,FALSE()),"")</f>
        <v>5</v>
      </c>
      <c r="I343" s="13" t="s">
        <v>85</v>
      </c>
      <c r="J343" s="11" t="s">
        <v>41</v>
      </c>
      <c r="K343" s="12">
        <v>46164</v>
      </c>
      <c r="L343" s="12">
        <v>46164</v>
      </c>
      <c r="M343" s="13"/>
      <c r="N343" s="14" t="s">
        <v>76</v>
      </c>
      <c r="O343" s="12">
        <v>46168</v>
      </c>
      <c r="P343" s="11">
        <f t="shared" si="30"/>
        <v>5</v>
      </c>
      <c r="Q343" s="11" t="str">
        <f t="shared" ca="1" si="31"/>
        <v>-</v>
      </c>
      <c r="R343" s="11">
        <f>IFERROR(VLOOKUP(G343,Paramètres!$B$6:$F$8,3,FALSE()),"")</f>
        <v>2</v>
      </c>
      <c r="S343" s="11" t="str">
        <f t="shared" ca="1" si="32"/>
        <v>-</v>
      </c>
      <c r="T343" s="12">
        <v>46168</v>
      </c>
      <c r="U343" s="11">
        <f t="shared" si="33"/>
        <v>0</v>
      </c>
      <c r="V343" s="11">
        <f t="shared" si="34"/>
        <v>-2</v>
      </c>
      <c r="W343" s="11" t="str">
        <f t="shared" si="35"/>
        <v>Dans les délais</v>
      </c>
    </row>
    <row r="344" spans="1:23">
      <c r="A344" s="11">
        <v>328</v>
      </c>
      <c r="B344" s="12">
        <v>46164</v>
      </c>
      <c r="C344" s="13" t="s">
        <v>912</v>
      </c>
      <c r="D344" s="13" t="s">
        <v>100</v>
      </c>
      <c r="E344" s="13" t="s">
        <v>913</v>
      </c>
      <c r="F344" s="13" t="s">
        <v>914</v>
      </c>
      <c r="G344" s="11" t="s">
        <v>39</v>
      </c>
      <c r="H344" s="11">
        <f>IFERROR(VLOOKUP(G344,Paramètres!$B$6:$F$8,2,FALSE()),"")</f>
        <v>5</v>
      </c>
      <c r="I344" s="13" t="s">
        <v>232</v>
      </c>
      <c r="J344" s="11" t="s">
        <v>55</v>
      </c>
      <c r="K344" s="12">
        <v>46164</v>
      </c>
      <c r="L344" s="12">
        <v>46167</v>
      </c>
      <c r="M344" s="13" t="s">
        <v>86</v>
      </c>
      <c r="N344" s="14" t="s">
        <v>57</v>
      </c>
      <c r="O344" s="12">
        <v>46171</v>
      </c>
      <c r="P344" s="11">
        <f t="shared" si="30"/>
        <v>7</v>
      </c>
      <c r="Q344" s="11" t="str">
        <f t="shared" ca="1" si="31"/>
        <v>-</v>
      </c>
      <c r="R344" s="11">
        <f>IFERROR(VLOOKUP(G344,Paramètres!$B$6:$F$8,3,FALSE()),"")</f>
        <v>2</v>
      </c>
      <c r="S344" s="11" t="str">
        <f t="shared" ca="1" si="32"/>
        <v>-</v>
      </c>
      <c r="T344" s="12">
        <v>46174</v>
      </c>
      <c r="U344" s="11">
        <f t="shared" si="33"/>
        <v>3</v>
      </c>
      <c r="V344" s="11">
        <f t="shared" si="34"/>
        <v>3</v>
      </c>
      <c r="W344" s="11" t="str">
        <f t="shared" si="35"/>
        <v>Hors délais</v>
      </c>
    </row>
    <row r="345" spans="1:23">
      <c r="A345" s="11">
        <v>329</v>
      </c>
      <c r="B345" s="12">
        <v>46167</v>
      </c>
      <c r="C345" s="13" t="s">
        <v>915</v>
      </c>
      <c r="D345" s="13" t="s">
        <v>100</v>
      </c>
      <c r="E345" s="13" t="s">
        <v>916</v>
      </c>
      <c r="F345" s="13" t="s">
        <v>917</v>
      </c>
      <c r="G345" s="11" t="s">
        <v>53</v>
      </c>
      <c r="H345" s="11" t="str">
        <f>IFERROR(VLOOKUP(G345,Paramètres!$B$6:$F$8,2,FALSE()),"")</f>
        <v>N/A</v>
      </c>
      <c r="I345" s="13" t="s">
        <v>54</v>
      </c>
      <c r="J345" s="11" t="s">
        <v>55</v>
      </c>
      <c r="K345" s="12">
        <v>46167</v>
      </c>
      <c r="L345" s="12">
        <v>46167</v>
      </c>
      <c r="M345" s="13" t="s">
        <v>49</v>
      </c>
      <c r="N345" s="14" t="s">
        <v>66</v>
      </c>
      <c r="O345" s="12"/>
      <c r="P345" s="11" t="str">
        <f t="shared" si="30"/>
        <v>-</v>
      </c>
      <c r="Q345" s="11" t="str">
        <f t="shared" ca="1" si="31"/>
        <v>-</v>
      </c>
      <c r="R345" s="11" t="str">
        <f>IFERROR(VLOOKUP(G345,Paramètres!$B$6:$F$8,3,FALSE()),"")</f>
        <v>N/A</v>
      </c>
      <c r="S345" s="11" t="str">
        <f t="shared" ca="1" si="32"/>
        <v>-</v>
      </c>
      <c r="T345" s="12"/>
      <c r="U345" s="11" t="str">
        <f t="shared" si="33"/>
        <v>-</v>
      </c>
      <c r="V345" s="11" t="str">
        <f t="shared" si="34"/>
        <v>-</v>
      </c>
      <c r="W345" s="11" t="str">
        <f t="shared" si="35"/>
        <v>Ne nécessite pas de réponse</v>
      </c>
    </row>
    <row r="346" spans="1:23">
      <c r="A346" s="11">
        <v>330</v>
      </c>
      <c r="B346" s="12">
        <v>46167</v>
      </c>
      <c r="C346" s="13" t="s">
        <v>918</v>
      </c>
      <c r="D346" s="13" t="s">
        <v>89</v>
      </c>
      <c r="E346" s="13"/>
      <c r="F346" s="13" t="s">
        <v>919</v>
      </c>
      <c r="G346" s="11" t="s">
        <v>39</v>
      </c>
      <c r="H346" s="11">
        <f>IFERROR(VLOOKUP(G346,Paramètres!$B$6:$F$8,2,FALSE()),"")</f>
        <v>5</v>
      </c>
      <c r="I346" s="13" t="s">
        <v>185</v>
      </c>
      <c r="J346" s="11" t="s">
        <v>48</v>
      </c>
      <c r="K346" s="12">
        <v>46167</v>
      </c>
      <c r="L346" s="12">
        <v>46167</v>
      </c>
      <c r="M346" s="13" t="s">
        <v>86</v>
      </c>
      <c r="N346" s="14" t="s">
        <v>121</v>
      </c>
      <c r="O346" s="12">
        <v>46170</v>
      </c>
      <c r="P346" s="11">
        <f t="shared" si="30"/>
        <v>3</v>
      </c>
      <c r="Q346" s="11" t="str">
        <f t="shared" ca="1" si="31"/>
        <v>-</v>
      </c>
      <c r="R346" s="11">
        <f>IFERROR(VLOOKUP(G346,Paramètres!$B$6:$F$8,3,FALSE()),"")</f>
        <v>2</v>
      </c>
      <c r="S346" s="11" t="str">
        <f t="shared" ca="1" si="32"/>
        <v>-</v>
      </c>
      <c r="T346" s="12">
        <v>46171</v>
      </c>
      <c r="U346" s="11">
        <f t="shared" si="33"/>
        <v>1</v>
      </c>
      <c r="V346" s="11">
        <f t="shared" si="34"/>
        <v>-3</v>
      </c>
      <c r="W346" s="11" t="str">
        <f t="shared" si="35"/>
        <v>Dans les délais</v>
      </c>
    </row>
    <row r="347" spans="1:23">
      <c r="A347" s="11">
        <v>331</v>
      </c>
      <c r="B347" s="12">
        <v>46168</v>
      </c>
      <c r="C347" s="13" t="s">
        <v>920</v>
      </c>
      <c r="D347" s="13" t="s">
        <v>230</v>
      </c>
      <c r="E347" s="13" t="s">
        <v>921</v>
      </c>
      <c r="F347" s="13" t="s">
        <v>922</v>
      </c>
      <c r="G347" s="11" t="s">
        <v>53</v>
      </c>
      <c r="H347" s="11" t="str">
        <f>IFERROR(VLOOKUP(G347,Paramètres!$B$6:$F$8,2,FALSE()),"")</f>
        <v>N/A</v>
      </c>
      <c r="I347" s="13" t="s">
        <v>85</v>
      </c>
      <c r="J347" s="11" t="s">
        <v>41</v>
      </c>
      <c r="K347" s="12">
        <v>46169</v>
      </c>
      <c r="L347" s="12">
        <v>46170</v>
      </c>
      <c r="M347" s="13" t="s">
        <v>42</v>
      </c>
      <c r="N347" s="14" t="s">
        <v>76</v>
      </c>
      <c r="O347" s="12"/>
      <c r="P347" s="11" t="str">
        <f t="shared" si="30"/>
        <v>-</v>
      </c>
      <c r="Q347" s="11" t="str">
        <f t="shared" ca="1" si="31"/>
        <v>-</v>
      </c>
      <c r="R347" s="11" t="str">
        <f>IFERROR(VLOOKUP(G347,Paramètres!$B$6:$F$8,3,FALSE()),"")</f>
        <v>N/A</v>
      </c>
      <c r="S347" s="11" t="str">
        <f t="shared" ca="1" si="32"/>
        <v>-</v>
      </c>
      <c r="T347" s="12"/>
      <c r="U347" s="11" t="str">
        <f t="shared" si="33"/>
        <v>-</v>
      </c>
      <c r="V347" s="11" t="str">
        <f t="shared" si="34"/>
        <v>-</v>
      </c>
      <c r="W347" s="11" t="str">
        <f t="shared" si="35"/>
        <v>Ne nécessite pas de réponse</v>
      </c>
    </row>
    <row r="348" spans="1:23">
      <c r="A348" s="11">
        <v>332</v>
      </c>
      <c r="B348" s="12">
        <v>46168</v>
      </c>
      <c r="C348" s="13" t="s">
        <v>923</v>
      </c>
      <c r="D348" s="13" t="s">
        <v>59</v>
      </c>
      <c r="E348" s="13"/>
      <c r="F348" s="13" t="s">
        <v>924</v>
      </c>
      <c r="G348" s="11" t="s">
        <v>84</v>
      </c>
      <c r="H348" s="11">
        <f>IFERROR(VLOOKUP(G348,Paramètres!$B$6:$F$8,2,FALSE()),"")</f>
        <v>5</v>
      </c>
      <c r="I348" s="13" t="s">
        <v>85</v>
      </c>
      <c r="J348" s="11" t="s">
        <v>41</v>
      </c>
      <c r="K348" s="12">
        <v>46168</v>
      </c>
      <c r="L348" s="12">
        <v>46169</v>
      </c>
      <c r="M348" s="13" t="s">
        <v>86</v>
      </c>
      <c r="N348" s="14" t="s">
        <v>76</v>
      </c>
      <c r="O348" s="12">
        <v>46171</v>
      </c>
      <c r="P348" s="11">
        <f t="shared" si="30"/>
        <v>3</v>
      </c>
      <c r="Q348" s="11" t="str">
        <f t="shared" ca="1" si="31"/>
        <v>-</v>
      </c>
      <c r="R348" s="11">
        <f>IFERROR(VLOOKUP(G348,Paramètres!$B$6:$F$8,3,FALSE()),"")</f>
        <v>2</v>
      </c>
      <c r="S348" s="11" t="str">
        <f t="shared" ca="1" si="32"/>
        <v>-</v>
      </c>
      <c r="T348" s="12">
        <v>46174</v>
      </c>
      <c r="U348" s="11">
        <f t="shared" si="33"/>
        <v>3</v>
      </c>
      <c r="V348" s="11">
        <f t="shared" si="34"/>
        <v>-1</v>
      </c>
      <c r="W348" s="11" t="str">
        <f t="shared" si="35"/>
        <v>Dans les délais</v>
      </c>
    </row>
    <row r="349" spans="1:23">
      <c r="A349" s="11">
        <v>333</v>
      </c>
      <c r="B349" s="12">
        <v>46169</v>
      </c>
      <c r="C349" s="13" t="s">
        <v>925</v>
      </c>
      <c r="D349" s="13" t="s">
        <v>45</v>
      </c>
      <c r="E349" s="13"/>
      <c r="F349" s="13" t="s">
        <v>926</v>
      </c>
      <c r="G349" s="11" t="s">
        <v>39</v>
      </c>
      <c r="H349" s="11">
        <f>IFERROR(VLOOKUP(G349,Paramètres!$B$6:$F$8,2,FALSE()),"")</f>
        <v>5</v>
      </c>
      <c r="I349" s="13" t="s">
        <v>240</v>
      </c>
      <c r="J349" s="11" t="s">
        <v>55</v>
      </c>
      <c r="K349" s="12">
        <v>46169</v>
      </c>
      <c r="L349" s="12">
        <v>46169</v>
      </c>
      <c r="M349" s="13" t="s">
        <v>61</v>
      </c>
      <c r="N349" s="14" t="s">
        <v>102</v>
      </c>
      <c r="O349" s="12">
        <v>46177</v>
      </c>
      <c r="P349" s="11">
        <f t="shared" si="30"/>
        <v>8</v>
      </c>
      <c r="Q349" s="11" t="str">
        <f t="shared" ca="1" si="31"/>
        <v>-</v>
      </c>
      <c r="R349" s="11">
        <f>IFERROR(VLOOKUP(G349,Paramètres!$B$6:$F$8,3,FALSE()),"")</f>
        <v>2</v>
      </c>
      <c r="S349" s="11" t="str">
        <f t="shared" ca="1" si="32"/>
        <v>-</v>
      </c>
      <c r="T349" s="12">
        <v>46178</v>
      </c>
      <c r="U349" s="11">
        <f t="shared" si="33"/>
        <v>1</v>
      </c>
      <c r="V349" s="11">
        <f t="shared" si="34"/>
        <v>2</v>
      </c>
      <c r="W349" s="11" t="str">
        <f t="shared" si="35"/>
        <v>Hors délais</v>
      </c>
    </row>
    <row r="350" spans="1:23">
      <c r="A350" s="11">
        <v>334</v>
      </c>
      <c r="B350" s="12">
        <v>46169</v>
      </c>
      <c r="C350" s="13" t="s">
        <v>927</v>
      </c>
      <c r="D350" s="13" t="s">
        <v>123</v>
      </c>
      <c r="E350" s="13" t="s">
        <v>928</v>
      </c>
      <c r="F350" s="13" t="s">
        <v>929</v>
      </c>
      <c r="G350" s="11" t="s">
        <v>39</v>
      </c>
      <c r="H350" s="11">
        <f>IFERROR(VLOOKUP(G350,Paramètres!$B$6:$F$8,2,FALSE()),"")</f>
        <v>5</v>
      </c>
      <c r="I350" s="13" t="s">
        <v>228</v>
      </c>
      <c r="J350" s="11" t="s">
        <v>55</v>
      </c>
      <c r="K350" s="12">
        <v>46170</v>
      </c>
      <c r="L350" s="12">
        <v>46170</v>
      </c>
      <c r="M350" s="13" t="s">
        <v>56</v>
      </c>
      <c r="N350" s="14" t="s">
        <v>102</v>
      </c>
      <c r="O350" s="12"/>
      <c r="P350" s="11" t="str">
        <f t="shared" si="30"/>
        <v/>
      </c>
      <c r="Q350" s="11" t="str">
        <f t="shared" ca="1" si="31"/>
        <v>ROUGE</v>
      </c>
      <c r="R350" s="11">
        <f>IFERROR(VLOOKUP(G350,Paramètres!$B$6:$F$8,3,FALSE()),"")</f>
        <v>2</v>
      </c>
      <c r="S350" s="11" t="str">
        <f t="shared" ca="1" si="32"/>
        <v/>
      </c>
      <c r="T350" s="12"/>
      <c r="U350" s="11" t="str">
        <f t="shared" si="33"/>
        <v/>
      </c>
      <c r="V350" s="11" t="str">
        <f t="shared" si="34"/>
        <v/>
      </c>
      <c r="W350" s="11" t="str">
        <f t="shared" si="35"/>
        <v/>
      </c>
    </row>
    <row r="351" spans="1:23">
      <c r="A351" s="11">
        <v>335</v>
      </c>
      <c r="B351" s="12">
        <v>46171</v>
      </c>
      <c r="C351" s="13" t="s">
        <v>930</v>
      </c>
      <c r="D351" s="13" t="s">
        <v>63</v>
      </c>
      <c r="E351" s="13" t="s">
        <v>931</v>
      </c>
      <c r="F351" s="13" t="s">
        <v>932</v>
      </c>
      <c r="G351" s="11" t="s">
        <v>84</v>
      </c>
      <c r="H351" s="11">
        <f>IFERROR(VLOOKUP(G351,Paramètres!$B$6:$F$8,2,FALSE()),"")</f>
        <v>5</v>
      </c>
      <c r="I351" s="13" t="s">
        <v>426</v>
      </c>
      <c r="J351" s="11" t="s">
        <v>41</v>
      </c>
      <c r="K351" s="12">
        <v>46171</v>
      </c>
      <c r="L351" s="12">
        <v>46171</v>
      </c>
      <c r="M351" s="13" t="s">
        <v>86</v>
      </c>
      <c r="N351" s="14" t="s">
        <v>43</v>
      </c>
      <c r="O351" s="12">
        <v>46189</v>
      </c>
      <c r="P351" s="11">
        <f t="shared" si="30"/>
        <v>18</v>
      </c>
      <c r="Q351" s="11" t="str">
        <f t="shared" ca="1" si="31"/>
        <v>-</v>
      </c>
      <c r="R351" s="11">
        <f>IFERROR(VLOOKUP(G351,Paramètres!$B$6:$F$8,3,FALSE()),"")</f>
        <v>2</v>
      </c>
      <c r="S351" s="11" t="str">
        <f t="shared" ca="1" si="32"/>
        <v>-</v>
      </c>
      <c r="T351" s="12">
        <v>46190</v>
      </c>
      <c r="U351" s="11">
        <f t="shared" si="33"/>
        <v>1</v>
      </c>
      <c r="V351" s="11">
        <f t="shared" si="34"/>
        <v>12</v>
      </c>
      <c r="W351" s="11" t="str">
        <f t="shared" si="35"/>
        <v>Hors délais</v>
      </c>
    </row>
    <row r="352" spans="1:23">
      <c r="A352" s="11">
        <v>336</v>
      </c>
      <c r="B352" s="12">
        <v>46171</v>
      </c>
      <c r="C352" s="13" t="s">
        <v>933</v>
      </c>
      <c r="D352" s="13" t="s">
        <v>248</v>
      </c>
      <c r="E352" s="13"/>
      <c r="F352" s="13" t="s">
        <v>934</v>
      </c>
      <c r="G352" s="11" t="s">
        <v>39</v>
      </c>
      <c r="H352" s="11">
        <f>IFERROR(VLOOKUP(G352,Paramètres!$B$6:$F$8,2,FALSE()),"")</f>
        <v>5</v>
      </c>
      <c r="I352" s="13" t="s">
        <v>240</v>
      </c>
      <c r="J352" s="11" t="s">
        <v>55</v>
      </c>
      <c r="K352" s="12">
        <v>46171</v>
      </c>
      <c r="L352" s="12">
        <v>46171</v>
      </c>
      <c r="M352" s="13"/>
      <c r="N352" s="14" t="s">
        <v>57</v>
      </c>
      <c r="O352" s="12">
        <v>46182</v>
      </c>
      <c r="P352" s="11">
        <f t="shared" si="30"/>
        <v>11</v>
      </c>
      <c r="Q352" s="11" t="str">
        <f t="shared" ca="1" si="31"/>
        <v>-</v>
      </c>
      <c r="R352" s="11">
        <f>IFERROR(VLOOKUP(G352,Paramètres!$B$6:$F$8,3,FALSE()),"")</f>
        <v>2</v>
      </c>
      <c r="S352" s="11" t="str">
        <f t="shared" ca="1" si="32"/>
        <v>-</v>
      </c>
      <c r="T352" s="12">
        <v>46189</v>
      </c>
      <c r="U352" s="11">
        <f t="shared" si="33"/>
        <v>7</v>
      </c>
      <c r="V352" s="11">
        <f t="shared" si="34"/>
        <v>11</v>
      </c>
      <c r="W352" s="11" t="str">
        <f t="shared" si="35"/>
        <v>Hors délais</v>
      </c>
    </row>
    <row r="353" spans="1:23">
      <c r="A353" s="11">
        <v>337</v>
      </c>
      <c r="B353" s="12">
        <v>46171</v>
      </c>
      <c r="C353" s="13" t="s">
        <v>935</v>
      </c>
      <c r="D353" s="13" t="s">
        <v>178</v>
      </c>
      <c r="E353" s="13"/>
      <c r="F353" s="13" t="s">
        <v>936</v>
      </c>
      <c r="G353" s="11" t="s">
        <v>39</v>
      </c>
      <c r="H353" s="11">
        <f>IFERROR(VLOOKUP(G353,Paramètres!$B$6:$F$8,2,FALSE()),"")</f>
        <v>5</v>
      </c>
      <c r="I353" s="13" t="s">
        <v>228</v>
      </c>
      <c r="J353" s="11" t="s">
        <v>55</v>
      </c>
      <c r="K353" s="12">
        <v>46174</v>
      </c>
      <c r="L353" s="12">
        <v>46174</v>
      </c>
      <c r="M353" s="13" t="s">
        <v>86</v>
      </c>
      <c r="N353" s="14" t="s">
        <v>57</v>
      </c>
      <c r="O353" s="12">
        <v>46177</v>
      </c>
      <c r="P353" s="11">
        <f t="shared" si="30"/>
        <v>6</v>
      </c>
      <c r="Q353" s="11" t="str">
        <f t="shared" ca="1" si="31"/>
        <v>-</v>
      </c>
      <c r="R353" s="11">
        <f>IFERROR(VLOOKUP(G353,Paramètres!$B$6:$F$8,3,FALSE()),"")</f>
        <v>2</v>
      </c>
      <c r="S353" s="11" t="str">
        <f t="shared" ca="1" si="32"/>
        <v>-</v>
      </c>
      <c r="T353" s="12">
        <v>46182</v>
      </c>
      <c r="U353" s="11">
        <f t="shared" si="33"/>
        <v>5</v>
      </c>
      <c r="V353" s="11">
        <f t="shared" si="34"/>
        <v>4</v>
      </c>
      <c r="W353" s="11" t="str">
        <f t="shared" si="35"/>
        <v>Hors délais</v>
      </c>
    </row>
    <row r="354" spans="1:23">
      <c r="A354" s="11">
        <v>338</v>
      </c>
      <c r="B354" s="12">
        <v>46171</v>
      </c>
      <c r="C354" s="13" t="s">
        <v>937</v>
      </c>
      <c r="D354" s="13" t="s">
        <v>175</v>
      </c>
      <c r="E354" s="13" t="s">
        <v>938</v>
      </c>
      <c r="F354" s="13" t="s">
        <v>939</v>
      </c>
      <c r="G354" s="11" t="s">
        <v>39</v>
      </c>
      <c r="H354" s="11">
        <f>IFERROR(VLOOKUP(G354,Paramètres!$B$6:$F$8,2,FALSE()),"")</f>
        <v>5</v>
      </c>
      <c r="I354" s="13" t="s">
        <v>168</v>
      </c>
      <c r="J354" s="11" t="s">
        <v>48</v>
      </c>
      <c r="K354" s="12">
        <v>46174</v>
      </c>
      <c r="L354" s="12">
        <v>46174</v>
      </c>
      <c r="M354" s="13"/>
      <c r="N354" s="14" t="s">
        <v>121</v>
      </c>
      <c r="O354" s="12">
        <v>46175</v>
      </c>
      <c r="P354" s="11">
        <f t="shared" si="30"/>
        <v>4</v>
      </c>
      <c r="Q354" s="11" t="str">
        <f t="shared" ca="1" si="31"/>
        <v>-</v>
      </c>
      <c r="R354" s="11">
        <f>IFERROR(VLOOKUP(G354,Paramètres!$B$6:$F$8,3,FALSE()),"")</f>
        <v>2</v>
      </c>
      <c r="S354" s="11" t="str">
        <f t="shared" ca="1" si="32"/>
        <v>-</v>
      </c>
      <c r="T354" s="12">
        <v>46176</v>
      </c>
      <c r="U354" s="11">
        <f t="shared" si="33"/>
        <v>1</v>
      </c>
      <c r="V354" s="11">
        <f t="shared" si="34"/>
        <v>-2</v>
      </c>
      <c r="W354" s="11" t="str">
        <f t="shared" si="35"/>
        <v>Dans les délais</v>
      </c>
    </row>
    <row r="355" spans="1:23">
      <c r="A355" s="11">
        <v>339</v>
      </c>
      <c r="B355" s="12">
        <v>46171</v>
      </c>
      <c r="C355" s="13" t="s">
        <v>940</v>
      </c>
      <c r="D355" s="13" t="s">
        <v>89</v>
      </c>
      <c r="E355" s="13" t="s">
        <v>941</v>
      </c>
      <c r="F355" s="13" t="s">
        <v>942</v>
      </c>
      <c r="G355" s="11" t="s">
        <v>39</v>
      </c>
      <c r="H355" s="11">
        <f>IFERROR(VLOOKUP(G355,Paramètres!$B$6:$F$8,2,FALSE()),"")</f>
        <v>5</v>
      </c>
      <c r="I355" s="13" t="s">
        <v>120</v>
      </c>
      <c r="J355" s="11" t="s">
        <v>48</v>
      </c>
      <c r="K355" s="12">
        <v>46174</v>
      </c>
      <c r="L355" s="12">
        <v>46175</v>
      </c>
      <c r="M355" s="13"/>
      <c r="N355" s="14" t="s">
        <v>186</v>
      </c>
      <c r="O355" s="12">
        <v>46176</v>
      </c>
      <c r="P355" s="11">
        <f t="shared" si="30"/>
        <v>5</v>
      </c>
      <c r="Q355" s="11" t="str">
        <f t="shared" ca="1" si="31"/>
        <v>-</v>
      </c>
      <c r="R355" s="11">
        <f>IFERROR(VLOOKUP(G355,Paramètres!$B$6:$F$8,3,FALSE()),"")</f>
        <v>2</v>
      </c>
      <c r="S355" s="11" t="str">
        <f t="shared" ca="1" si="32"/>
        <v>-</v>
      </c>
      <c r="T355" s="12">
        <v>46177</v>
      </c>
      <c r="U355" s="11">
        <f t="shared" si="33"/>
        <v>1</v>
      </c>
      <c r="V355" s="11">
        <f t="shared" si="34"/>
        <v>-1</v>
      </c>
      <c r="W355" s="11" t="str">
        <f t="shared" si="35"/>
        <v>Dans les délais</v>
      </c>
    </row>
    <row r="356" spans="1:23">
      <c r="A356" s="11">
        <v>340</v>
      </c>
      <c r="B356" s="12">
        <v>46171</v>
      </c>
      <c r="C356" s="13" t="s">
        <v>943</v>
      </c>
      <c r="D356" s="13" t="s">
        <v>81</v>
      </c>
      <c r="E356" s="13" t="s">
        <v>944</v>
      </c>
      <c r="F356" s="13" t="s">
        <v>945</v>
      </c>
      <c r="G356" s="11" t="s">
        <v>39</v>
      </c>
      <c r="H356" s="11">
        <f>IFERROR(VLOOKUP(G356,Paramètres!$B$6:$F$8,2,FALSE()),"")</f>
        <v>5</v>
      </c>
      <c r="I356" s="13" t="s">
        <v>47</v>
      </c>
      <c r="J356" s="11" t="s">
        <v>48</v>
      </c>
      <c r="K356" s="12">
        <v>46171</v>
      </c>
      <c r="L356" s="12">
        <v>46174</v>
      </c>
      <c r="M356" s="13"/>
      <c r="N356" s="14" t="s">
        <v>186</v>
      </c>
      <c r="O356" s="12">
        <v>46176</v>
      </c>
      <c r="P356" s="11">
        <f t="shared" si="30"/>
        <v>5</v>
      </c>
      <c r="Q356" s="11" t="str">
        <f t="shared" ca="1" si="31"/>
        <v>-</v>
      </c>
      <c r="R356" s="11">
        <f>IFERROR(VLOOKUP(G356,Paramètres!$B$6:$F$8,3,FALSE()),"")</f>
        <v>2</v>
      </c>
      <c r="S356" s="11" t="str">
        <f t="shared" ca="1" si="32"/>
        <v>-</v>
      </c>
      <c r="T356" s="12">
        <v>46176</v>
      </c>
      <c r="U356" s="11">
        <f t="shared" si="33"/>
        <v>0</v>
      </c>
      <c r="V356" s="11">
        <f t="shared" si="34"/>
        <v>-2</v>
      </c>
      <c r="W356" s="11" t="str">
        <f t="shared" si="35"/>
        <v>Dans les délais</v>
      </c>
    </row>
    <row r="357" spans="1:23" ht="28.5">
      <c r="A357" s="11">
        <v>341</v>
      </c>
      <c r="B357" s="12">
        <v>46171</v>
      </c>
      <c r="C357" s="13" t="s">
        <v>946</v>
      </c>
      <c r="D357" s="13" t="s">
        <v>248</v>
      </c>
      <c r="E357" s="13" t="s">
        <v>947</v>
      </c>
      <c r="F357" s="13" t="s">
        <v>948</v>
      </c>
      <c r="G357" s="11" t="s">
        <v>39</v>
      </c>
      <c r="H357" s="11">
        <f>IFERROR(VLOOKUP(G357,Paramètres!$B$6:$F$8,2,FALSE()),"")</f>
        <v>5</v>
      </c>
      <c r="I357" s="13" t="s">
        <v>108</v>
      </c>
      <c r="J357" s="11" t="s">
        <v>55</v>
      </c>
      <c r="K357" s="12">
        <v>46174</v>
      </c>
      <c r="L357" s="12">
        <v>46174</v>
      </c>
      <c r="M357" s="13" t="s">
        <v>75</v>
      </c>
      <c r="N357" s="14" t="s">
        <v>57</v>
      </c>
      <c r="O357" s="12">
        <v>46177</v>
      </c>
      <c r="P357" s="11">
        <f t="shared" si="30"/>
        <v>6</v>
      </c>
      <c r="Q357" s="11" t="str">
        <f t="shared" ca="1" si="31"/>
        <v>-</v>
      </c>
      <c r="R357" s="11">
        <f>IFERROR(VLOOKUP(G357,Paramètres!$B$6:$F$8,3,FALSE()),"")</f>
        <v>2</v>
      </c>
      <c r="S357" s="11" t="str">
        <f t="shared" ca="1" si="32"/>
        <v>-</v>
      </c>
      <c r="T357" s="12">
        <v>46178</v>
      </c>
      <c r="U357" s="11">
        <f t="shared" si="33"/>
        <v>1</v>
      </c>
      <c r="V357" s="11">
        <f t="shared" si="34"/>
        <v>0</v>
      </c>
      <c r="W357" s="11" t="str">
        <f t="shared" si="35"/>
        <v>Dans les délais</v>
      </c>
    </row>
    <row r="358" spans="1:23">
      <c r="A358" s="11">
        <v>342</v>
      </c>
      <c r="B358" s="12">
        <v>46171</v>
      </c>
      <c r="C358" s="13" t="s">
        <v>949</v>
      </c>
      <c r="D358" s="13" t="s">
        <v>45</v>
      </c>
      <c r="E358" s="13"/>
      <c r="F358" s="13" t="s">
        <v>950</v>
      </c>
      <c r="G358" s="11" t="s">
        <v>53</v>
      </c>
      <c r="H358" s="11" t="str">
        <f>IFERROR(VLOOKUP(G358,Paramètres!$B$6:$F$8,2,FALSE()),"")</f>
        <v>N/A</v>
      </c>
      <c r="I358" s="13" t="s">
        <v>98</v>
      </c>
      <c r="J358" s="11" t="s">
        <v>41</v>
      </c>
      <c r="K358" s="12">
        <v>46174</v>
      </c>
      <c r="L358" s="12">
        <v>46174</v>
      </c>
      <c r="M358" s="13" t="s">
        <v>42</v>
      </c>
      <c r="N358" s="14" t="s">
        <v>43</v>
      </c>
      <c r="O358" s="12"/>
      <c r="P358" s="11" t="str">
        <f t="shared" si="30"/>
        <v>-</v>
      </c>
      <c r="Q358" s="11" t="str">
        <f t="shared" ca="1" si="31"/>
        <v>-</v>
      </c>
      <c r="R358" s="11" t="str">
        <f>IFERROR(VLOOKUP(G358,Paramètres!$B$6:$F$8,3,FALSE()),"")</f>
        <v>N/A</v>
      </c>
      <c r="S358" s="11" t="str">
        <f t="shared" ca="1" si="32"/>
        <v>-</v>
      </c>
      <c r="T358" s="12"/>
      <c r="U358" s="11" t="str">
        <f t="shared" si="33"/>
        <v>-</v>
      </c>
      <c r="V358" s="11" t="str">
        <f t="shared" si="34"/>
        <v>-</v>
      </c>
      <c r="W358" s="11" t="str">
        <f t="shared" si="35"/>
        <v>Ne nécessite pas de réponse</v>
      </c>
    </row>
    <row r="359" spans="1:23">
      <c r="A359" s="11">
        <v>343</v>
      </c>
      <c r="B359" s="12">
        <v>46174</v>
      </c>
      <c r="C359" s="13" t="s">
        <v>951</v>
      </c>
      <c r="D359" s="13" t="s">
        <v>104</v>
      </c>
      <c r="E359" s="13" t="s">
        <v>952</v>
      </c>
      <c r="F359" s="13" t="s">
        <v>953</v>
      </c>
      <c r="G359" s="11" t="s">
        <v>39</v>
      </c>
      <c r="H359" s="11">
        <f>IFERROR(VLOOKUP(G359,Paramètres!$B$6:$F$8,2,FALSE()),"")</f>
        <v>5</v>
      </c>
      <c r="I359" s="13" t="s">
        <v>94</v>
      </c>
      <c r="J359" s="11" t="s">
        <v>55</v>
      </c>
      <c r="K359" s="12">
        <v>46174</v>
      </c>
      <c r="L359" s="12">
        <v>46174</v>
      </c>
      <c r="M359" s="13" t="s">
        <v>86</v>
      </c>
      <c r="N359" s="14" t="s">
        <v>57</v>
      </c>
      <c r="O359" s="12">
        <v>46177</v>
      </c>
      <c r="P359" s="11">
        <f t="shared" si="30"/>
        <v>3</v>
      </c>
      <c r="Q359" s="11" t="str">
        <f t="shared" ca="1" si="31"/>
        <v>-</v>
      </c>
      <c r="R359" s="11">
        <f>IFERROR(VLOOKUP(G359,Paramètres!$B$6:$F$8,3,FALSE()),"")</f>
        <v>2</v>
      </c>
      <c r="S359" s="11" t="str">
        <f t="shared" ca="1" si="32"/>
        <v>-</v>
      </c>
      <c r="T359" s="12">
        <v>46178</v>
      </c>
      <c r="U359" s="11">
        <f t="shared" si="33"/>
        <v>1</v>
      </c>
      <c r="V359" s="11">
        <f t="shared" si="34"/>
        <v>-3</v>
      </c>
      <c r="W359" s="11" t="str">
        <f t="shared" si="35"/>
        <v>Dans les délais</v>
      </c>
    </row>
    <row r="360" spans="1:23">
      <c r="A360" s="11">
        <v>344</v>
      </c>
      <c r="B360" s="12">
        <v>46174</v>
      </c>
      <c r="C360" s="13" t="s">
        <v>954</v>
      </c>
      <c r="D360" s="13" t="s">
        <v>123</v>
      </c>
      <c r="E360" s="13"/>
      <c r="F360" s="13" t="s">
        <v>955</v>
      </c>
      <c r="G360" s="11" t="s">
        <v>39</v>
      </c>
      <c r="H360" s="11">
        <f>IFERROR(VLOOKUP(G360,Paramètres!$B$6:$F$8,2,FALSE()),"")</f>
        <v>5</v>
      </c>
      <c r="I360" s="13" t="s">
        <v>40</v>
      </c>
      <c r="J360" s="11" t="s">
        <v>41</v>
      </c>
      <c r="K360" s="12">
        <v>46174</v>
      </c>
      <c r="L360" s="12">
        <v>46174</v>
      </c>
      <c r="M360" s="13" t="s">
        <v>49</v>
      </c>
      <c r="N360" s="14" t="s">
        <v>43</v>
      </c>
      <c r="O360" s="12">
        <v>46181</v>
      </c>
      <c r="P360" s="11">
        <f t="shared" si="30"/>
        <v>7</v>
      </c>
      <c r="Q360" s="11" t="str">
        <f t="shared" ca="1" si="31"/>
        <v>-</v>
      </c>
      <c r="R360" s="11">
        <f>IFERROR(VLOOKUP(G360,Paramètres!$B$6:$F$8,3,FALSE()),"")</f>
        <v>2</v>
      </c>
      <c r="S360" s="11" t="str">
        <f t="shared" ca="1" si="32"/>
        <v>-</v>
      </c>
      <c r="T360" s="12">
        <v>46188</v>
      </c>
      <c r="U360" s="11">
        <f t="shared" si="33"/>
        <v>7</v>
      </c>
      <c r="V360" s="11">
        <f t="shared" si="34"/>
        <v>7</v>
      </c>
      <c r="W360" s="11" t="str">
        <f t="shared" si="35"/>
        <v>Hors délais</v>
      </c>
    </row>
    <row r="361" spans="1:23">
      <c r="A361" s="11">
        <v>345</v>
      </c>
      <c r="B361" s="12">
        <v>46175</v>
      </c>
      <c r="C361" s="13" t="s">
        <v>956</v>
      </c>
      <c r="D361" s="13" t="s">
        <v>123</v>
      </c>
      <c r="E361" s="13" t="s">
        <v>957</v>
      </c>
      <c r="F361" s="13" t="s">
        <v>958</v>
      </c>
      <c r="G361" s="11" t="s">
        <v>39</v>
      </c>
      <c r="H361" s="11">
        <f>IFERROR(VLOOKUP(G361,Paramètres!$B$6:$F$8,2,FALSE()),"")</f>
        <v>5</v>
      </c>
      <c r="I361" s="13" t="s">
        <v>155</v>
      </c>
      <c r="J361" s="11" t="s">
        <v>48</v>
      </c>
      <c r="K361" s="12">
        <v>46175</v>
      </c>
      <c r="L361" s="12">
        <v>46175</v>
      </c>
      <c r="M361" s="13" t="s">
        <v>86</v>
      </c>
      <c r="N361" s="14" t="s">
        <v>121</v>
      </c>
      <c r="O361" s="12">
        <v>46182</v>
      </c>
      <c r="P361" s="11">
        <f t="shared" si="30"/>
        <v>7</v>
      </c>
      <c r="Q361" s="11" t="str">
        <f t="shared" ca="1" si="31"/>
        <v>-</v>
      </c>
      <c r="R361" s="11">
        <f>IFERROR(VLOOKUP(G361,Paramètres!$B$6:$F$8,3,FALSE()),"")</f>
        <v>2</v>
      </c>
      <c r="S361" s="11" t="str">
        <f t="shared" ca="1" si="32"/>
        <v>-</v>
      </c>
      <c r="T361" s="12">
        <v>46183</v>
      </c>
      <c r="U361" s="11">
        <f t="shared" si="33"/>
        <v>1</v>
      </c>
      <c r="V361" s="11">
        <f t="shared" si="34"/>
        <v>1</v>
      </c>
      <c r="W361" s="11" t="str">
        <f t="shared" si="35"/>
        <v>Hors délais</v>
      </c>
    </row>
    <row r="362" spans="1:23">
      <c r="A362" s="11">
        <v>346</v>
      </c>
      <c r="B362" s="12">
        <v>46175</v>
      </c>
      <c r="C362" s="13" t="s">
        <v>959</v>
      </c>
      <c r="D362" s="13" t="s">
        <v>137</v>
      </c>
      <c r="E362" s="13" t="s">
        <v>960</v>
      </c>
      <c r="F362" s="13" t="s">
        <v>961</v>
      </c>
      <c r="G362" s="11" t="s">
        <v>53</v>
      </c>
      <c r="H362" s="11" t="str">
        <f>IFERROR(VLOOKUP(G362,Paramètres!$B$6:$F$8,2,FALSE()),"")</f>
        <v>N/A</v>
      </c>
      <c r="I362" s="13" t="s">
        <v>94</v>
      </c>
      <c r="J362" s="11" t="s">
        <v>55</v>
      </c>
      <c r="K362" s="12">
        <v>46175</v>
      </c>
      <c r="L362" s="12">
        <v>46175</v>
      </c>
      <c r="M362" s="13" t="s">
        <v>49</v>
      </c>
      <c r="N362" s="14" t="s">
        <v>102</v>
      </c>
      <c r="O362" s="12"/>
      <c r="P362" s="11" t="str">
        <f t="shared" si="30"/>
        <v>-</v>
      </c>
      <c r="Q362" s="11" t="str">
        <f t="shared" ca="1" si="31"/>
        <v>-</v>
      </c>
      <c r="R362" s="11" t="str">
        <f>IFERROR(VLOOKUP(G362,Paramètres!$B$6:$F$8,3,FALSE()),"")</f>
        <v>N/A</v>
      </c>
      <c r="S362" s="11" t="str">
        <f t="shared" ca="1" si="32"/>
        <v>-</v>
      </c>
      <c r="T362" s="12"/>
      <c r="U362" s="11" t="str">
        <f t="shared" si="33"/>
        <v>-</v>
      </c>
      <c r="V362" s="11" t="str">
        <f t="shared" si="34"/>
        <v>-</v>
      </c>
      <c r="W362" s="11" t="str">
        <f t="shared" si="35"/>
        <v>Ne nécessite pas de réponse</v>
      </c>
    </row>
    <row r="363" spans="1:23">
      <c r="A363" s="11">
        <v>347</v>
      </c>
      <c r="B363" s="12">
        <v>46175</v>
      </c>
      <c r="C363" s="13" t="s">
        <v>962</v>
      </c>
      <c r="D363" s="13" t="s">
        <v>145</v>
      </c>
      <c r="E363" s="13" t="s">
        <v>963</v>
      </c>
      <c r="F363" s="13" t="s">
        <v>964</v>
      </c>
      <c r="G363" s="11" t="s">
        <v>39</v>
      </c>
      <c r="H363" s="11">
        <f>IFERROR(VLOOKUP(G363,Paramètres!$B$6:$F$8,2,FALSE()),"")</f>
        <v>5</v>
      </c>
      <c r="I363" s="13" t="s">
        <v>47</v>
      </c>
      <c r="J363" s="11" t="s">
        <v>48</v>
      </c>
      <c r="K363" s="12">
        <v>46175</v>
      </c>
      <c r="L363" s="12">
        <v>46175</v>
      </c>
      <c r="M363" s="13" t="s">
        <v>86</v>
      </c>
      <c r="N363" s="14" t="s">
        <v>186</v>
      </c>
      <c r="O363" s="12">
        <v>46188</v>
      </c>
      <c r="P363" s="11">
        <f t="shared" si="30"/>
        <v>13</v>
      </c>
      <c r="Q363" s="11" t="str">
        <f t="shared" ca="1" si="31"/>
        <v>-</v>
      </c>
      <c r="R363" s="11">
        <f>IFERROR(VLOOKUP(G363,Paramètres!$B$6:$F$8,3,FALSE()),"")</f>
        <v>2</v>
      </c>
      <c r="S363" s="11" t="str">
        <f t="shared" ca="1" si="32"/>
        <v>-</v>
      </c>
      <c r="T363" s="12">
        <v>46195</v>
      </c>
      <c r="U363" s="11">
        <f t="shared" si="33"/>
        <v>7</v>
      </c>
      <c r="V363" s="11">
        <f t="shared" si="34"/>
        <v>13</v>
      </c>
      <c r="W363" s="11" t="str">
        <f t="shared" si="35"/>
        <v>Hors délais</v>
      </c>
    </row>
    <row r="364" spans="1:23">
      <c r="A364" s="11">
        <v>348</v>
      </c>
      <c r="B364" s="12">
        <v>46175</v>
      </c>
      <c r="C364" s="13" t="s">
        <v>965</v>
      </c>
      <c r="D364" s="13" t="s">
        <v>230</v>
      </c>
      <c r="E364" s="13"/>
      <c r="F364" s="13" t="s">
        <v>966</v>
      </c>
      <c r="G364" s="11" t="s">
        <v>39</v>
      </c>
      <c r="H364" s="11">
        <f>IFERROR(VLOOKUP(G364,Paramètres!$B$6:$F$8,2,FALSE()),"")</f>
        <v>5</v>
      </c>
      <c r="I364" s="13" t="s">
        <v>94</v>
      </c>
      <c r="J364" s="11" t="s">
        <v>55</v>
      </c>
      <c r="K364" s="12">
        <v>46176</v>
      </c>
      <c r="L364" s="12">
        <v>46176</v>
      </c>
      <c r="M364" s="13" t="s">
        <v>49</v>
      </c>
      <c r="N364" s="14" t="s">
        <v>57</v>
      </c>
      <c r="O364" s="12">
        <v>46191</v>
      </c>
      <c r="P364" s="11">
        <f t="shared" si="30"/>
        <v>16</v>
      </c>
      <c r="Q364" s="11" t="str">
        <f t="shared" ca="1" si="31"/>
        <v>-</v>
      </c>
      <c r="R364" s="11">
        <f>IFERROR(VLOOKUP(G364,Paramètres!$B$6:$F$8,3,FALSE()),"")</f>
        <v>2</v>
      </c>
      <c r="S364" s="11" t="str">
        <f t="shared" ca="1" si="32"/>
        <v>-</v>
      </c>
      <c r="T364" s="12">
        <v>46196</v>
      </c>
      <c r="U364" s="11">
        <f t="shared" si="33"/>
        <v>5</v>
      </c>
      <c r="V364" s="11">
        <f t="shared" si="34"/>
        <v>14</v>
      </c>
      <c r="W364" s="11" t="str">
        <f t="shared" si="35"/>
        <v>Hors délais</v>
      </c>
    </row>
    <row r="365" spans="1:23">
      <c r="A365" s="11">
        <v>349</v>
      </c>
      <c r="B365" s="12">
        <v>46176</v>
      </c>
      <c r="C365" s="13" t="s">
        <v>967</v>
      </c>
      <c r="D365" s="13" t="s">
        <v>68</v>
      </c>
      <c r="E365" s="13"/>
      <c r="F365" s="13" t="s">
        <v>968</v>
      </c>
      <c r="G365" s="11" t="s">
        <v>39</v>
      </c>
      <c r="H365" s="11">
        <f>IFERROR(VLOOKUP(G365,Paramètres!$B$6:$F$8,2,FALSE()),"")</f>
        <v>5</v>
      </c>
      <c r="I365" s="13" t="s">
        <v>232</v>
      </c>
      <c r="J365" s="11" t="s">
        <v>55</v>
      </c>
      <c r="K365" s="12">
        <v>46176</v>
      </c>
      <c r="L365" s="12">
        <v>46176</v>
      </c>
      <c r="M365" s="13"/>
      <c r="N365" s="14" t="s">
        <v>66</v>
      </c>
      <c r="O365" s="12">
        <v>46183</v>
      </c>
      <c r="P365" s="11">
        <f t="shared" si="30"/>
        <v>7</v>
      </c>
      <c r="Q365" s="11" t="str">
        <f t="shared" ca="1" si="31"/>
        <v>-</v>
      </c>
      <c r="R365" s="11">
        <f>IFERROR(VLOOKUP(G365,Paramètres!$B$6:$F$8,3,FALSE()),"")</f>
        <v>2</v>
      </c>
      <c r="S365" s="11" t="str">
        <f t="shared" ca="1" si="32"/>
        <v>-</v>
      </c>
      <c r="T365" s="12">
        <v>46185</v>
      </c>
      <c r="U365" s="11">
        <f t="shared" si="33"/>
        <v>2</v>
      </c>
      <c r="V365" s="11">
        <f t="shared" si="34"/>
        <v>2</v>
      </c>
      <c r="W365" s="11" t="str">
        <f t="shared" si="35"/>
        <v>Hors délais</v>
      </c>
    </row>
    <row r="366" spans="1:23">
      <c r="A366" s="11">
        <v>350</v>
      </c>
      <c r="B366" s="12">
        <v>46177</v>
      </c>
      <c r="C366" s="13" t="s">
        <v>969</v>
      </c>
      <c r="D366" s="13" t="s">
        <v>37</v>
      </c>
      <c r="E366" s="13" t="s">
        <v>970</v>
      </c>
      <c r="F366" s="13" t="s">
        <v>971</v>
      </c>
      <c r="G366" s="11" t="s">
        <v>39</v>
      </c>
      <c r="H366" s="11">
        <f>IFERROR(VLOOKUP(G366,Paramètres!$B$6:$F$8,2,FALSE()),"")</f>
        <v>5</v>
      </c>
      <c r="I366" s="13" t="s">
        <v>155</v>
      </c>
      <c r="J366" s="11" t="s">
        <v>48</v>
      </c>
      <c r="K366" s="12">
        <v>46177</v>
      </c>
      <c r="L366" s="12">
        <v>46178</v>
      </c>
      <c r="M366" s="13" t="s">
        <v>86</v>
      </c>
      <c r="N366" s="14" t="s">
        <v>50</v>
      </c>
      <c r="O366" s="12">
        <v>46183</v>
      </c>
      <c r="P366" s="11">
        <f t="shared" si="30"/>
        <v>6</v>
      </c>
      <c r="Q366" s="11" t="str">
        <f t="shared" ca="1" si="31"/>
        <v>-</v>
      </c>
      <c r="R366" s="11">
        <f>IFERROR(VLOOKUP(G366,Paramètres!$B$6:$F$8,3,FALSE()),"")</f>
        <v>2</v>
      </c>
      <c r="S366" s="11" t="str">
        <f t="shared" ca="1" si="32"/>
        <v>-</v>
      </c>
      <c r="T366" s="12">
        <v>46185</v>
      </c>
      <c r="U366" s="11">
        <f t="shared" si="33"/>
        <v>2</v>
      </c>
      <c r="V366" s="11">
        <f t="shared" si="34"/>
        <v>1</v>
      </c>
      <c r="W366" s="11" t="str">
        <f t="shared" si="35"/>
        <v>Hors délais</v>
      </c>
    </row>
    <row r="367" spans="1:23">
      <c r="A367" s="11">
        <v>351</v>
      </c>
      <c r="B367" s="12">
        <v>46177</v>
      </c>
      <c r="C367" s="13" t="s">
        <v>972</v>
      </c>
      <c r="D367" s="13" t="s">
        <v>37</v>
      </c>
      <c r="E367" s="13" t="s">
        <v>973</v>
      </c>
      <c r="F367" s="13" t="s">
        <v>974</v>
      </c>
      <c r="G367" s="11" t="s">
        <v>39</v>
      </c>
      <c r="H367" s="11">
        <f>IFERROR(VLOOKUP(G367,Paramètres!$B$6:$F$8,2,FALSE()),"")</f>
        <v>5</v>
      </c>
      <c r="I367" s="13" t="s">
        <v>130</v>
      </c>
      <c r="J367" s="11" t="s">
        <v>48</v>
      </c>
      <c r="K367" s="12">
        <v>46177</v>
      </c>
      <c r="L367" s="12">
        <v>46177</v>
      </c>
      <c r="M367" s="13" t="s">
        <v>49</v>
      </c>
      <c r="N367" s="14" t="s">
        <v>50</v>
      </c>
      <c r="O367" s="12">
        <v>46183</v>
      </c>
      <c r="P367" s="11">
        <f t="shared" si="30"/>
        <v>6</v>
      </c>
      <c r="Q367" s="11" t="str">
        <f t="shared" ca="1" si="31"/>
        <v>-</v>
      </c>
      <c r="R367" s="11">
        <f>IFERROR(VLOOKUP(G367,Paramètres!$B$6:$F$8,3,FALSE()),"")</f>
        <v>2</v>
      </c>
      <c r="S367" s="11" t="str">
        <f t="shared" ca="1" si="32"/>
        <v>-</v>
      </c>
      <c r="T367" s="12">
        <v>46188</v>
      </c>
      <c r="U367" s="11">
        <f t="shared" si="33"/>
        <v>5</v>
      </c>
      <c r="V367" s="11">
        <f t="shared" si="34"/>
        <v>4</v>
      </c>
      <c r="W367" s="11" t="str">
        <f t="shared" si="35"/>
        <v>Hors délais</v>
      </c>
    </row>
    <row r="368" spans="1:23">
      <c r="A368" s="11">
        <v>352</v>
      </c>
      <c r="B368" s="12">
        <v>46177</v>
      </c>
      <c r="C368" s="13" t="s">
        <v>975</v>
      </c>
      <c r="D368" s="13" t="s">
        <v>175</v>
      </c>
      <c r="E368" s="13" t="s">
        <v>976</v>
      </c>
      <c r="F368" s="13" t="s">
        <v>977</v>
      </c>
      <c r="G368" s="11" t="s">
        <v>39</v>
      </c>
      <c r="H368" s="11">
        <f>IFERROR(VLOOKUP(G368,Paramètres!$B$6:$F$8,2,FALSE()),"")</f>
        <v>5</v>
      </c>
      <c r="I368" s="13" t="s">
        <v>155</v>
      </c>
      <c r="J368" s="11" t="s">
        <v>48</v>
      </c>
      <c r="K368" s="12">
        <v>46177</v>
      </c>
      <c r="L368" s="12">
        <v>46178</v>
      </c>
      <c r="M368" s="13" t="s">
        <v>56</v>
      </c>
      <c r="N368" s="14" t="s">
        <v>50</v>
      </c>
      <c r="O368" s="12">
        <v>46183</v>
      </c>
      <c r="P368" s="11">
        <f t="shared" si="30"/>
        <v>6</v>
      </c>
      <c r="Q368" s="11" t="str">
        <f t="shared" ca="1" si="31"/>
        <v>-</v>
      </c>
      <c r="R368" s="11">
        <f>IFERROR(VLOOKUP(G368,Paramètres!$B$6:$F$8,3,FALSE()),"")</f>
        <v>2</v>
      </c>
      <c r="S368" s="11" t="str">
        <f t="shared" ca="1" si="32"/>
        <v>-</v>
      </c>
      <c r="T368" s="12">
        <v>46184</v>
      </c>
      <c r="U368" s="11">
        <f t="shared" si="33"/>
        <v>1</v>
      </c>
      <c r="V368" s="11">
        <f t="shared" si="34"/>
        <v>0</v>
      </c>
      <c r="W368" s="11" t="str">
        <f t="shared" si="35"/>
        <v>Dans les délais</v>
      </c>
    </row>
    <row r="369" spans="1:23">
      <c r="A369" s="11">
        <v>353</v>
      </c>
      <c r="B369" s="12">
        <v>46177</v>
      </c>
      <c r="C369" s="13" t="s">
        <v>978</v>
      </c>
      <c r="D369" s="13" t="s">
        <v>137</v>
      </c>
      <c r="E369" s="13"/>
      <c r="F369" s="13" t="s">
        <v>979</v>
      </c>
      <c r="G369" s="11" t="s">
        <v>39</v>
      </c>
      <c r="H369" s="11">
        <f>IFERROR(VLOOKUP(G369,Paramètres!$B$6:$F$8,2,FALSE()),"")</f>
        <v>5</v>
      </c>
      <c r="I369" s="13" t="s">
        <v>40</v>
      </c>
      <c r="J369" s="11" t="s">
        <v>41</v>
      </c>
      <c r="K369" s="12">
        <v>46178</v>
      </c>
      <c r="L369" s="12">
        <v>46178</v>
      </c>
      <c r="M369" s="13" t="s">
        <v>42</v>
      </c>
      <c r="N369" s="14" t="s">
        <v>87</v>
      </c>
      <c r="O369" s="12">
        <v>46182</v>
      </c>
      <c r="P369" s="11">
        <f t="shared" si="30"/>
        <v>5</v>
      </c>
      <c r="Q369" s="11" t="str">
        <f t="shared" ca="1" si="31"/>
        <v>-</v>
      </c>
      <c r="R369" s="11">
        <f>IFERROR(VLOOKUP(G369,Paramètres!$B$6:$F$8,3,FALSE()),"")</f>
        <v>2</v>
      </c>
      <c r="S369" s="11" t="str">
        <f t="shared" ca="1" si="32"/>
        <v>-</v>
      </c>
      <c r="T369" s="12">
        <v>46183</v>
      </c>
      <c r="U369" s="11">
        <f t="shared" si="33"/>
        <v>1</v>
      </c>
      <c r="V369" s="11">
        <f t="shared" si="34"/>
        <v>-1</v>
      </c>
      <c r="W369" s="11" t="str">
        <f t="shared" si="35"/>
        <v>Dans les délais</v>
      </c>
    </row>
    <row r="370" spans="1:23" ht="28.5">
      <c r="A370" s="11">
        <v>354</v>
      </c>
      <c r="B370" s="12">
        <v>46178</v>
      </c>
      <c r="C370" s="13" t="s">
        <v>980</v>
      </c>
      <c r="D370" s="13" t="s">
        <v>145</v>
      </c>
      <c r="E370" s="13"/>
      <c r="F370" s="13" t="s">
        <v>981</v>
      </c>
      <c r="G370" s="11" t="s">
        <v>39</v>
      </c>
      <c r="H370" s="11">
        <f>IFERROR(VLOOKUP(G370,Paramètres!$B$6:$F$8,2,FALSE()),"")</f>
        <v>5</v>
      </c>
      <c r="I370" s="13" t="s">
        <v>85</v>
      </c>
      <c r="J370" s="11" t="s">
        <v>41</v>
      </c>
      <c r="K370" s="12">
        <v>46178</v>
      </c>
      <c r="L370" s="12">
        <v>46178</v>
      </c>
      <c r="M370" s="13" t="s">
        <v>75</v>
      </c>
      <c r="N370" s="14" t="s">
        <v>87</v>
      </c>
      <c r="O370" s="12">
        <v>46184</v>
      </c>
      <c r="P370" s="11">
        <f t="shared" si="30"/>
        <v>6</v>
      </c>
      <c r="Q370" s="11" t="str">
        <f t="shared" ca="1" si="31"/>
        <v>-</v>
      </c>
      <c r="R370" s="11">
        <f>IFERROR(VLOOKUP(G370,Paramètres!$B$6:$F$8,3,FALSE()),"")</f>
        <v>2</v>
      </c>
      <c r="S370" s="11" t="str">
        <f t="shared" ca="1" si="32"/>
        <v>-</v>
      </c>
      <c r="T370" s="12">
        <v>46188</v>
      </c>
      <c r="U370" s="11">
        <f t="shared" si="33"/>
        <v>4</v>
      </c>
      <c r="V370" s="11">
        <f t="shared" si="34"/>
        <v>3</v>
      </c>
      <c r="W370" s="11" t="str">
        <f t="shared" si="35"/>
        <v>Hors délais</v>
      </c>
    </row>
    <row r="371" spans="1:23">
      <c r="A371" s="11">
        <v>355</v>
      </c>
      <c r="B371" s="12">
        <v>46178</v>
      </c>
      <c r="C371" s="13" t="s">
        <v>982</v>
      </c>
      <c r="D371" s="13" t="s">
        <v>59</v>
      </c>
      <c r="E371" s="13"/>
      <c r="F371" s="13" t="s">
        <v>983</v>
      </c>
      <c r="G371" s="11" t="s">
        <v>39</v>
      </c>
      <c r="H371" s="11">
        <f>IFERROR(VLOOKUP(G371,Paramètres!$B$6:$F$8,2,FALSE()),"")</f>
        <v>5</v>
      </c>
      <c r="I371" s="13" t="s">
        <v>74</v>
      </c>
      <c r="J371" s="11" t="s">
        <v>41</v>
      </c>
      <c r="K371" s="12">
        <v>46178</v>
      </c>
      <c r="L371" s="12">
        <v>46178</v>
      </c>
      <c r="M371" s="13" t="s">
        <v>61</v>
      </c>
      <c r="N371" s="14" t="s">
        <v>76</v>
      </c>
      <c r="O371" s="12">
        <v>46188</v>
      </c>
      <c r="P371" s="11">
        <f t="shared" si="30"/>
        <v>10</v>
      </c>
      <c r="Q371" s="11" t="str">
        <f t="shared" ca="1" si="31"/>
        <v>-</v>
      </c>
      <c r="R371" s="11">
        <f>IFERROR(VLOOKUP(G371,Paramètres!$B$6:$F$8,3,FALSE()),"")</f>
        <v>2</v>
      </c>
      <c r="S371" s="11" t="str">
        <f t="shared" ca="1" si="32"/>
        <v>-</v>
      </c>
      <c r="T371" s="12">
        <v>46188</v>
      </c>
      <c r="U371" s="11">
        <f t="shared" si="33"/>
        <v>0</v>
      </c>
      <c r="V371" s="11">
        <f t="shared" si="34"/>
        <v>3</v>
      </c>
      <c r="W371" s="11" t="str">
        <f t="shared" si="35"/>
        <v>Hors délais</v>
      </c>
    </row>
    <row r="372" spans="1:23">
      <c r="A372" s="11">
        <v>356</v>
      </c>
      <c r="B372" s="12">
        <v>46181</v>
      </c>
      <c r="C372" s="13" t="s">
        <v>984</v>
      </c>
      <c r="D372" s="13" t="s">
        <v>137</v>
      </c>
      <c r="E372" s="13"/>
      <c r="F372" s="13" t="s">
        <v>985</v>
      </c>
      <c r="G372" s="11" t="s">
        <v>39</v>
      </c>
      <c r="H372" s="11">
        <f>IFERROR(VLOOKUP(G372,Paramètres!$B$6:$F$8,2,FALSE()),"")</f>
        <v>5</v>
      </c>
      <c r="I372" s="13" t="s">
        <v>74</v>
      </c>
      <c r="J372" s="11" t="s">
        <v>41</v>
      </c>
      <c r="K372" s="12">
        <v>46182</v>
      </c>
      <c r="L372" s="12">
        <v>46183</v>
      </c>
      <c r="M372" s="13"/>
      <c r="N372" s="14" t="s">
        <v>43</v>
      </c>
      <c r="O372" s="12">
        <v>46185</v>
      </c>
      <c r="P372" s="11">
        <f t="shared" si="30"/>
        <v>4</v>
      </c>
      <c r="Q372" s="11" t="str">
        <f t="shared" ca="1" si="31"/>
        <v>-</v>
      </c>
      <c r="R372" s="11">
        <f>IFERROR(VLOOKUP(G372,Paramètres!$B$6:$F$8,3,FALSE()),"")</f>
        <v>2</v>
      </c>
      <c r="S372" s="11" t="str">
        <f t="shared" ca="1" si="32"/>
        <v>-</v>
      </c>
      <c r="T372" s="12">
        <v>46192</v>
      </c>
      <c r="U372" s="11">
        <f t="shared" si="33"/>
        <v>7</v>
      </c>
      <c r="V372" s="11">
        <f t="shared" si="34"/>
        <v>4</v>
      </c>
      <c r="W372" s="11" t="str">
        <f t="shared" si="35"/>
        <v>Hors délais</v>
      </c>
    </row>
    <row r="373" spans="1:23">
      <c r="A373" s="11">
        <v>357</v>
      </c>
      <c r="B373" s="12">
        <v>46181</v>
      </c>
      <c r="C373" s="13" t="s">
        <v>986</v>
      </c>
      <c r="D373" s="13" t="s">
        <v>104</v>
      </c>
      <c r="E373" s="13" t="s">
        <v>987</v>
      </c>
      <c r="F373" s="13" t="s">
        <v>988</v>
      </c>
      <c r="G373" s="11" t="s">
        <v>53</v>
      </c>
      <c r="H373" s="11" t="str">
        <f>IFERROR(VLOOKUP(G373,Paramètres!$B$6:$F$8,2,FALSE()),"")</f>
        <v>N/A</v>
      </c>
      <c r="I373" s="13" t="s">
        <v>71</v>
      </c>
      <c r="J373" s="11" t="s">
        <v>41</v>
      </c>
      <c r="K373" s="12">
        <v>46181</v>
      </c>
      <c r="L373" s="12">
        <v>46182</v>
      </c>
      <c r="M373" s="13" t="s">
        <v>86</v>
      </c>
      <c r="N373" s="14" t="s">
        <v>76</v>
      </c>
      <c r="O373" s="12"/>
      <c r="P373" s="11" t="str">
        <f t="shared" si="30"/>
        <v>-</v>
      </c>
      <c r="Q373" s="11" t="str">
        <f t="shared" ca="1" si="31"/>
        <v>-</v>
      </c>
      <c r="R373" s="11" t="str">
        <f>IFERROR(VLOOKUP(G373,Paramètres!$B$6:$F$8,3,FALSE()),"")</f>
        <v>N/A</v>
      </c>
      <c r="S373" s="11" t="str">
        <f t="shared" ca="1" si="32"/>
        <v>-</v>
      </c>
      <c r="T373" s="12"/>
      <c r="U373" s="11" t="str">
        <f t="shared" si="33"/>
        <v>-</v>
      </c>
      <c r="V373" s="11" t="str">
        <f t="shared" si="34"/>
        <v>-</v>
      </c>
      <c r="W373" s="11" t="str">
        <f t="shared" si="35"/>
        <v>Ne nécessite pas de réponse</v>
      </c>
    </row>
    <row r="374" spans="1:23">
      <c r="A374" s="11">
        <v>358</v>
      </c>
      <c r="B374" s="12">
        <v>46181</v>
      </c>
      <c r="C374" s="13" t="s">
        <v>989</v>
      </c>
      <c r="D374" s="13" t="s">
        <v>45</v>
      </c>
      <c r="E374" s="13"/>
      <c r="F374" s="13" t="s">
        <v>990</v>
      </c>
      <c r="G374" s="11" t="s">
        <v>39</v>
      </c>
      <c r="H374" s="11">
        <f>IFERROR(VLOOKUP(G374,Paramètres!$B$6:$F$8,2,FALSE()),"")</f>
        <v>5</v>
      </c>
      <c r="I374" s="13" t="s">
        <v>98</v>
      </c>
      <c r="J374" s="11" t="s">
        <v>41</v>
      </c>
      <c r="K374" s="12">
        <v>46181</v>
      </c>
      <c r="L374" s="12">
        <v>46181</v>
      </c>
      <c r="M374" s="13" t="s">
        <v>49</v>
      </c>
      <c r="N374" s="14" t="s">
        <v>43</v>
      </c>
      <c r="O374" s="12">
        <v>46185</v>
      </c>
      <c r="P374" s="11">
        <f t="shared" si="30"/>
        <v>4</v>
      </c>
      <c r="Q374" s="11" t="str">
        <f t="shared" ca="1" si="31"/>
        <v>-</v>
      </c>
      <c r="R374" s="11">
        <f>IFERROR(VLOOKUP(G374,Paramètres!$B$6:$F$8,3,FALSE()),"")</f>
        <v>2</v>
      </c>
      <c r="S374" s="11" t="str">
        <f t="shared" ca="1" si="32"/>
        <v>-</v>
      </c>
      <c r="T374" s="12">
        <v>46188</v>
      </c>
      <c r="U374" s="11">
        <f t="shared" si="33"/>
        <v>3</v>
      </c>
      <c r="V374" s="11">
        <f t="shared" si="34"/>
        <v>0</v>
      </c>
      <c r="W374" s="11" t="str">
        <f t="shared" si="35"/>
        <v>Dans les délais</v>
      </c>
    </row>
    <row r="375" spans="1:23">
      <c r="A375" s="11">
        <v>359</v>
      </c>
      <c r="B375" s="12">
        <v>46181</v>
      </c>
      <c r="C375" s="13" t="s">
        <v>991</v>
      </c>
      <c r="D375" s="13" t="s">
        <v>37</v>
      </c>
      <c r="E375" s="13" t="s">
        <v>992</v>
      </c>
      <c r="F375" s="13" t="s">
        <v>993</v>
      </c>
      <c r="G375" s="11" t="s">
        <v>39</v>
      </c>
      <c r="H375" s="11">
        <f>IFERROR(VLOOKUP(G375,Paramètres!$B$6:$F$8,2,FALSE()),"")</f>
        <v>5</v>
      </c>
      <c r="I375" s="13" t="s">
        <v>85</v>
      </c>
      <c r="J375" s="11" t="s">
        <v>41</v>
      </c>
      <c r="K375" s="12">
        <v>46181</v>
      </c>
      <c r="L375" s="12">
        <v>46182</v>
      </c>
      <c r="M375" s="13"/>
      <c r="N375" s="14" t="s">
        <v>43</v>
      </c>
      <c r="O375" s="12">
        <v>46184</v>
      </c>
      <c r="P375" s="11">
        <f t="shared" si="30"/>
        <v>3</v>
      </c>
      <c r="Q375" s="11" t="str">
        <f t="shared" ca="1" si="31"/>
        <v>-</v>
      </c>
      <c r="R375" s="11">
        <f>IFERROR(VLOOKUP(G375,Paramètres!$B$6:$F$8,3,FALSE()),"")</f>
        <v>2</v>
      </c>
      <c r="S375" s="11" t="str">
        <f t="shared" ca="1" si="32"/>
        <v>-</v>
      </c>
      <c r="T375" s="12">
        <v>46184</v>
      </c>
      <c r="U375" s="11">
        <f t="shared" si="33"/>
        <v>0</v>
      </c>
      <c r="V375" s="11">
        <f t="shared" si="34"/>
        <v>-4</v>
      </c>
      <c r="W375" s="11" t="str">
        <f t="shared" si="35"/>
        <v>Dans les délais</v>
      </c>
    </row>
    <row r="376" spans="1:23">
      <c r="A376" s="11">
        <v>360</v>
      </c>
      <c r="B376" s="12">
        <v>46182</v>
      </c>
      <c r="C376" s="13" t="s">
        <v>994</v>
      </c>
      <c r="D376" s="13" t="s">
        <v>118</v>
      </c>
      <c r="E376" s="13" t="s">
        <v>995</v>
      </c>
      <c r="F376" s="13" t="s">
        <v>996</v>
      </c>
      <c r="G376" s="11" t="s">
        <v>53</v>
      </c>
      <c r="H376" s="11" t="str">
        <f>IFERROR(VLOOKUP(G376,Paramètres!$B$6:$F$8,2,FALSE()),"")</f>
        <v>N/A</v>
      </c>
      <c r="I376" s="13" t="s">
        <v>54</v>
      </c>
      <c r="J376" s="11" t="s">
        <v>55</v>
      </c>
      <c r="K376" s="12">
        <v>46182</v>
      </c>
      <c r="L376" s="12">
        <v>46182</v>
      </c>
      <c r="M376" s="13"/>
      <c r="N376" s="14" t="s">
        <v>66</v>
      </c>
      <c r="O376" s="12"/>
      <c r="P376" s="11" t="str">
        <f t="shared" si="30"/>
        <v>-</v>
      </c>
      <c r="Q376" s="11" t="str">
        <f t="shared" ca="1" si="31"/>
        <v>-</v>
      </c>
      <c r="R376" s="11" t="str">
        <f>IFERROR(VLOOKUP(G376,Paramètres!$B$6:$F$8,3,FALSE()),"")</f>
        <v>N/A</v>
      </c>
      <c r="S376" s="11" t="str">
        <f t="shared" ca="1" si="32"/>
        <v>-</v>
      </c>
      <c r="T376" s="12"/>
      <c r="U376" s="11" t="str">
        <f t="shared" si="33"/>
        <v>-</v>
      </c>
      <c r="V376" s="11" t="str">
        <f t="shared" si="34"/>
        <v>-</v>
      </c>
      <c r="W376" s="11" t="str">
        <f t="shared" si="35"/>
        <v>Ne nécessite pas de réponse</v>
      </c>
    </row>
    <row r="377" spans="1:23">
      <c r="A377" s="11">
        <v>361</v>
      </c>
      <c r="B377" s="12">
        <v>46182</v>
      </c>
      <c r="C377" s="13" t="s">
        <v>997</v>
      </c>
      <c r="D377" s="13" t="s">
        <v>248</v>
      </c>
      <c r="E377" s="13" t="s">
        <v>998</v>
      </c>
      <c r="F377" s="13" t="s">
        <v>999</v>
      </c>
      <c r="G377" s="11" t="s">
        <v>39</v>
      </c>
      <c r="H377" s="11">
        <f>IFERROR(VLOOKUP(G377,Paramètres!$B$6:$F$8,2,FALSE()),"")</f>
        <v>5</v>
      </c>
      <c r="I377" s="13" t="s">
        <v>228</v>
      </c>
      <c r="J377" s="11" t="s">
        <v>55</v>
      </c>
      <c r="K377" s="12">
        <v>46183</v>
      </c>
      <c r="L377" s="12">
        <v>46183</v>
      </c>
      <c r="M377" s="13" t="s">
        <v>61</v>
      </c>
      <c r="N377" s="14" t="s">
        <v>102</v>
      </c>
      <c r="O377" s="12">
        <v>46191</v>
      </c>
      <c r="P377" s="11">
        <f t="shared" si="30"/>
        <v>9</v>
      </c>
      <c r="Q377" s="11" t="str">
        <f t="shared" ca="1" si="31"/>
        <v>-</v>
      </c>
      <c r="R377" s="11">
        <f>IFERROR(VLOOKUP(G377,Paramètres!$B$6:$F$8,3,FALSE()),"")</f>
        <v>2</v>
      </c>
      <c r="S377" s="11" t="str">
        <f t="shared" ca="1" si="32"/>
        <v>-</v>
      </c>
      <c r="T377" s="12">
        <v>46192</v>
      </c>
      <c r="U377" s="11">
        <f t="shared" si="33"/>
        <v>1</v>
      </c>
      <c r="V377" s="11">
        <f t="shared" si="34"/>
        <v>3</v>
      </c>
      <c r="W377" s="11" t="str">
        <f t="shared" si="35"/>
        <v>Hors délais</v>
      </c>
    </row>
    <row r="378" spans="1:23">
      <c r="A378" s="11">
        <v>362</v>
      </c>
      <c r="B378" s="12">
        <v>46182</v>
      </c>
      <c r="C378" s="13" t="s">
        <v>1000</v>
      </c>
      <c r="D378" s="13" t="s">
        <v>123</v>
      </c>
      <c r="E378" s="13" t="s">
        <v>1001</v>
      </c>
      <c r="F378" s="13" t="s">
        <v>1002</v>
      </c>
      <c r="G378" s="11" t="s">
        <v>39</v>
      </c>
      <c r="H378" s="11">
        <f>IFERROR(VLOOKUP(G378,Paramètres!$B$6:$F$8,2,FALSE()),"")</f>
        <v>5</v>
      </c>
      <c r="I378" s="13" t="s">
        <v>85</v>
      </c>
      <c r="J378" s="11" t="s">
        <v>41</v>
      </c>
      <c r="K378" s="12">
        <v>46182</v>
      </c>
      <c r="L378" s="12">
        <v>46182</v>
      </c>
      <c r="M378" s="13" t="s">
        <v>86</v>
      </c>
      <c r="N378" s="14" t="s">
        <v>76</v>
      </c>
      <c r="O378" s="12">
        <v>46185</v>
      </c>
      <c r="P378" s="11">
        <f t="shared" si="30"/>
        <v>3</v>
      </c>
      <c r="Q378" s="11" t="str">
        <f t="shared" ca="1" si="31"/>
        <v>-</v>
      </c>
      <c r="R378" s="11">
        <f>IFERROR(VLOOKUP(G378,Paramètres!$B$6:$F$8,3,FALSE()),"")</f>
        <v>2</v>
      </c>
      <c r="S378" s="11" t="str">
        <f t="shared" ca="1" si="32"/>
        <v>-</v>
      </c>
      <c r="T378" s="12">
        <v>46188</v>
      </c>
      <c r="U378" s="11">
        <f t="shared" si="33"/>
        <v>3</v>
      </c>
      <c r="V378" s="11">
        <f t="shared" si="34"/>
        <v>-1</v>
      </c>
      <c r="W378" s="11" t="str">
        <f t="shared" si="35"/>
        <v>Dans les délais</v>
      </c>
    </row>
    <row r="379" spans="1:23">
      <c r="A379" s="11">
        <v>363</v>
      </c>
      <c r="B379" s="12">
        <v>46182</v>
      </c>
      <c r="C379" s="13" t="s">
        <v>1003</v>
      </c>
      <c r="D379" s="13" t="s">
        <v>81</v>
      </c>
      <c r="E379" s="13"/>
      <c r="F379" s="13" t="s">
        <v>1004</v>
      </c>
      <c r="G379" s="11" t="s">
        <v>39</v>
      </c>
      <c r="H379" s="11">
        <f>IFERROR(VLOOKUP(G379,Paramètres!$B$6:$F$8,2,FALSE()),"")</f>
        <v>5</v>
      </c>
      <c r="I379" s="13" t="s">
        <v>85</v>
      </c>
      <c r="J379" s="11" t="s">
        <v>41</v>
      </c>
      <c r="K379" s="12">
        <v>46183</v>
      </c>
      <c r="L379" s="12">
        <v>46184</v>
      </c>
      <c r="M379" s="13" t="s">
        <v>86</v>
      </c>
      <c r="N379" s="14" t="s">
        <v>76</v>
      </c>
      <c r="O379" s="12"/>
      <c r="P379" s="11" t="str">
        <f t="shared" si="30"/>
        <v/>
      </c>
      <c r="Q379" s="11" t="str">
        <f t="shared" ca="1" si="31"/>
        <v>ROUGE</v>
      </c>
      <c r="R379" s="11">
        <f>IFERROR(VLOOKUP(G379,Paramètres!$B$6:$F$8,3,FALSE()),"")</f>
        <v>2</v>
      </c>
      <c r="S379" s="11" t="str">
        <f t="shared" ca="1" si="32"/>
        <v/>
      </c>
      <c r="T379" s="12"/>
      <c r="U379" s="11" t="str">
        <f t="shared" si="33"/>
        <v/>
      </c>
      <c r="V379" s="11" t="str">
        <f t="shared" si="34"/>
        <v/>
      </c>
      <c r="W379" s="11" t="str">
        <f t="shared" si="35"/>
        <v/>
      </c>
    </row>
    <row r="380" spans="1:23">
      <c r="A380" s="11">
        <v>364</v>
      </c>
      <c r="B380" s="12">
        <v>46182</v>
      </c>
      <c r="C380" s="13" t="s">
        <v>1005</v>
      </c>
      <c r="D380" s="13" t="s">
        <v>137</v>
      </c>
      <c r="E380" s="13"/>
      <c r="F380" s="13" t="s">
        <v>1006</v>
      </c>
      <c r="G380" s="11" t="s">
        <v>39</v>
      </c>
      <c r="H380" s="11">
        <f>IFERROR(VLOOKUP(G380,Paramètres!$B$6:$F$8,2,FALSE()),"")</f>
        <v>5</v>
      </c>
      <c r="I380" s="13" t="s">
        <v>71</v>
      </c>
      <c r="J380" s="11" t="s">
        <v>41</v>
      </c>
      <c r="K380" s="12">
        <v>46183</v>
      </c>
      <c r="L380" s="12">
        <v>46183</v>
      </c>
      <c r="M380" s="13"/>
      <c r="N380" s="14" t="s">
        <v>76</v>
      </c>
      <c r="O380" s="12">
        <v>46191</v>
      </c>
      <c r="P380" s="11">
        <f t="shared" si="30"/>
        <v>9</v>
      </c>
      <c r="Q380" s="11" t="str">
        <f t="shared" ca="1" si="31"/>
        <v>-</v>
      </c>
      <c r="R380" s="11">
        <f>IFERROR(VLOOKUP(G380,Paramètres!$B$6:$F$8,3,FALSE()),"")</f>
        <v>2</v>
      </c>
      <c r="S380" s="11" t="str">
        <f t="shared" ca="1" si="32"/>
        <v>-</v>
      </c>
      <c r="T380" s="12">
        <v>46195</v>
      </c>
      <c r="U380" s="11">
        <f t="shared" si="33"/>
        <v>4</v>
      </c>
      <c r="V380" s="11">
        <f t="shared" si="34"/>
        <v>6</v>
      </c>
      <c r="W380" s="11" t="str">
        <f t="shared" si="35"/>
        <v>Hors délais</v>
      </c>
    </row>
    <row r="381" spans="1:23" ht="28.5">
      <c r="A381" s="11">
        <v>365</v>
      </c>
      <c r="B381" s="12">
        <v>46182</v>
      </c>
      <c r="C381" s="13" t="s">
        <v>1007</v>
      </c>
      <c r="D381" s="13" t="s">
        <v>123</v>
      </c>
      <c r="E381" s="13" t="s">
        <v>1008</v>
      </c>
      <c r="F381" s="13" t="s">
        <v>1009</v>
      </c>
      <c r="G381" s="11" t="s">
        <v>53</v>
      </c>
      <c r="H381" s="11" t="str">
        <f>IFERROR(VLOOKUP(G381,Paramètres!$B$6:$F$8,2,FALSE()),"")</f>
        <v>N/A</v>
      </c>
      <c r="I381" s="13" t="s">
        <v>94</v>
      </c>
      <c r="J381" s="11" t="s">
        <v>55</v>
      </c>
      <c r="K381" s="12">
        <v>46182</v>
      </c>
      <c r="L381" s="12">
        <v>46182</v>
      </c>
      <c r="M381" s="13" t="s">
        <v>75</v>
      </c>
      <c r="N381" s="14" t="s">
        <v>66</v>
      </c>
      <c r="O381" s="12"/>
      <c r="P381" s="11" t="str">
        <f t="shared" si="30"/>
        <v>-</v>
      </c>
      <c r="Q381" s="11" t="str">
        <f t="shared" ca="1" si="31"/>
        <v>-</v>
      </c>
      <c r="R381" s="11" t="str">
        <f>IFERROR(VLOOKUP(G381,Paramètres!$B$6:$F$8,3,FALSE()),"")</f>
        <v>N/A</v>
      </c>
      <c r="S381" s="11" t="str">
        <f t="shared" ca="1" si="32"/>
        <v>-</v>
      </c>
      <c r="T381" s="12"/>
      <c r="U381" s="11" t="str">
        <f t="shared" si="33"/>
        <v>-</v>
      </c>
      <c r="V381" s="11" t="str">
        <f t="shared" si="34"/>
        <v>-</v>
      </c>
      <c r="W381" s="11" t="str">
        <f t="shared" si="35"/>
        <v>Ne nécessite pas de réponse</v>
      </c>
    </row>
    <row r="382" spans="1:23" ht="28.5">
      <c r="A382" s="11">
        <v>366</v>
      </c>
      <c r="B382" s="12">
        <v>46183</v>
      </c>
      <c r="C382" s="13" t="s">
        <v>1010</v>
      </c>
      <c r="D382" s="13" t="s">
        <v>345</v>
      </c>
      <c r="E382" s="13" t="s">
        <v>1011</v>
      </c>
      <c r="F382" s="13" t="s">
        <v>1012</v>
      </c>
      <c r="G382" s="11" t="s">
        <v>39</v>
      </c>
      <c r="H382" s="11">
        <f>IFERROR(VLOOKUP(G382,Paramètres!$B$6:$F$8,2,FALSE()),"")</f>
        <v>5</v>
      </c>
      <c r="I382" s="13" t="s">
        <v>240</v>
      </c>
      <c r="J382" s="11" t="s">
        <v>55</v>
      </c>
      <c r="K382" s="12">
        <v>46183</v>
      </c>
      <c r="L382" s="12">
        <v>46183</v>
      </c>
      <c r="M382" s="13" t="s">
        <v>75</v>
      </c>
      <c r="N382" s="14" t="s">
        <v>66</v>
      </c>
      <c r="O382" s="12">
        <v>46191</v>
      </c>
      <c r="P382" s="11">
        <f t="shared" si="30"/>
        <v>8</v>
      </c>
      <c r="Q382" s="11" t="str">
        <f t="shared" ca="1" si="31"/>
        <v>-</v>
      </c>
      <c r="R382" s="11">
        <f>IFERROR(VLOOKUP(G382,Paramètres!$B$6:$F$8,3,FALSE()),"")</f>
        <v>2</v>
      </c>
      <c r="S382" s="11" t="str">
        <f t="shared" ca="1" si="32"/>
        <v>-</v>
      </c>
      <c r="T382" s="12">
        <v>46191</v>
      </c>
      <c r="U382" s="11">
        <f t="shared" si="33"/>
        <v>0</v>
      </c>
      <c r="V382" s="11">
        <f t="shared" si="34"/>
        <v>1</v>
      </c>
      <c r="W382" s="11" t="str">
        <f t="shared" si="35"/>
        <v>Hors délais</v>
      </c>
    </row>
    <row r="383" spans="1:23">
      <c r="A383" s="11">
        <v>367</v>
      </c>
      <c r="B383" s="12">
        <v>46183</v>
      </c>
      <c r="C383" s="13" t="s">
        <v>1013</v>
      </c>
      <c r="D383" s="13" t="s">
        <v>63</v>
      </c>
      <c r="E383" s="13"/>
      <c r="F383" s="13" t="s">
        <v>1014</v>
      </c>
      <c r="G383" s="11" t="s">
        <v>53</v>
      </c>
      <c r="H383" s="11" t="str">
        <f>IFERROR(VLOOKUP(G383,Paramètres!$B$6:$F$8,2,FALSE()),"")</f>
        <v>N/A</v>
      </c>
      <c r="I383" s="13" t="s">
        <v>65</v>
      </c>
      <c r="J383" s="11" t="s">
        <v>55</v>
      </c>
      <c r="K383" s="12">
        <v>46183</v>
      </c>
      <c r="L383" s="12">
        <v>46183</v>
      </c>
      <c r="M383" s="13"/>
      <c r="N383" s="14" t="s">
        <v>66</v>
      </c>
      <c r="O383" s="12"/>
      <c r="P383" s="11" t="str">
        <f t="shared" si="30"/>
        <v>-</v>
      </c>
      <c r="Q383" s="11" t="str">
        <f t="shared" ca="1" si="31"/>
        <v>-</v>
      </c>
      <c r="R383" s="11" t="str">
        <f>IFERROR(VLOOKUP(G383,Paramètres!$B$6:$F$8,3,FALSE()),"")</f>
        <v>N/A</v>
      </c>
      <c r="S383" s="11" t="str">
        <f t="shared" ca="1" si="32"/>
        <v>-</v>
      </c>
      <c r="T383" s="12"/>
      <c r="U383" s="11" t="str">
        <f t="shared" si="33"/>
        <v>-</v>
      </c>
      <c r="V383" s="11" t="str">
        <f t="shared" si="34"/>
        <v>-</v>
      </c>
      <c r="W383" s="11" t="str">
        <f t="shared" si="35"/>
        <v>Ne nécessite pas de réponse</v>
      </c>
    </row>
    <row r="384" spans="1:23" ht="28.5">
      <c r="A384" s="11">
        <v>368</v>
      </c>
      <c r="B384" s="12">
        <v>46183</v>
      </c>
      <c r="C384" s="13" t="s">
        <v>1015</v>
      </c>
      <c r="D384" s="13" t="s">
        <v>89</v>
      </c>
      <c r="E384" s="13"/>
      <c r="F384" s="13" t="s">
        <v>1016</v>
      </c>
      <c r="G384" s="11" t="s">
        <v>53</v>
      </c>
      <c r="H384" s="11" t="str">
        <f>IFERROR(VLOOKUP(G384,Paramètres!$B$6:$F$8,2,FALSE()),"")</f>
        <v>N/A</v>
      </c>
      <c r="I384" s="13" t="s">
        <v>65</v>
      </c>
      <c r="J384" s="11" t="s">
        <v>55</v>
      </c>
      <c r="K384" s="12">
        <v>46183</v>
      </c>
      <c r="L384" s="12">
        <v>46184</v>
      </c>
      <c r="M384" s="13" t="s">
        <v>75</v>
      </c>
      <c r="N384" s="14" t="s">
        <v>57</v>
      </c>
      <c r="O384" s="12"/>
      <c r="P384" s="11" t="str">
        <f t="shared" si="30"/>
        <v>-</v>
      </c>
      <c r="Q384" s="11" t="str">
        <f t="shared" ca="1" si="31"/>
        <v>-</v>
      </c>
      <c r="R384" s="11" t="str">
        <f>IFERROR(VLOOKUP(G384,Paramètres!$B$6:$F$8,3,FALSE()),"")</f>
        <v>N/A</v>
      </c>
      <c r="S384" s="11" t="str">
        <f t="shared" ca="1" si="32"/>
        <v>-</v>
      </c>
      <c r="T384" s="12"/>
      <c r="U384" s="11" t="str">
        <f t="shared" si="33"/>
        <v>-</v>
      </c>
      <c r="V384" s="11" t="str">
        <f t="shared" si="34"/>
        <v>-</v>
      </c>
      <c r="W384" s="11" t="str">
        <f t="shared" si="35"/>
        <v>Ne nécessite pas de réponse</v>
      </c>
    </row>
    <row r="385" spans="1:23">
      <c r="A385" s="11">
        <v>369</v>
      </c>
      <c r="B385" s="12">
        <v>46183</v>
      </c>
      <c r="C385" s="13" t="s">
        <v>1017</v>
      </c>
      <c r="D385" s="13" t="s">
        <v>115</v>
      </c>
      <c r="E385" s="13" t="s">
        <v>1018</v>
      </c>
      <c r="F385" s="13" t="s">
        <v>1019</v>
      </c>
      <c r="G385" s="11" t="s">
        <v>39</v>
      </c>
      <c r="H385" s="11">
        <f>IFERROR(VLOOKUP(G385,Paramètres!$B$6:$F$8,2,FALSE()),"")</f>
        <v>5</v>
      </c>
      <c r="I385" s="13" t="s">
        <v>240</v>
      </c>
      <c r="J385" s="11" t="s">
        <v>55</v>
      </c>
      <c r="K385" s="12">
        <v>46184</v>
      </c>
      <c r="L385" s="12">
        <v>46184</v>
      </c>
      <c r="M385" s="13" t="s">
        <v>56</v>
      </c>
      <c r="N385" s="14" t="s">
        <v>66</v>
      </c>
      <c r="O385" s="12">
        <v>46196</v>
      </c>
      <c r="P385" s="11">
        <f t="shared" si="30"/>
        <v>13</v>
      </c>
      <c r="Q385" s="11" t="str">
        <f t="shared" ca="1" si="31"/>
        <v>-</v>
      </c>
      <c r="R385" s="11">
        <f>IFERROR(VLOOKUP(G385,Paramètres!$B$6:$F$8,3,FALSE()),"")</f>
        <v>2</v>
      </c>
      <c r="S385" s="11" t="str">
        <f t="shared" ca="1" si="32"/>
        <v>-</v>
      </c>
      <c r="T385" s="12">
        <v>46197</v>
      </c>
      <c r="U385" s="11">
        <f t="shared" si="33"/>
        <v>1</v>
      </c>
      <c r="V385" s="11">
        <f t="shared" si="34"/>
        <v>7</v>
      </c>
      <c r="W385" s="11" t="str">
        <f t="shared" si="35"/>
        <v>Hors délais</v>
      </c>
    </row>
    <row r="386" spans="1:23">
      <c r="A386" s="11">
        <v>370</v>
      </c>
      <c r="B386" s="12">
        <v>46184</v>
      </c>
      <c r="C386" s="13" t="s">
        <v>1020</v>
      </c>
      <c r="D386" s="13" t="s">
        <v>59</v>
      </c>
      <c r="E386" s="13"/>
      <c r="F386" s="13" t="s">
        <v>1021</v>
      </c>
      <c r="G386" s="11" t="s">
        <v>39</v>
      </c>
      <c r="H386" s="11">
        <f>IFERROR(VLOOKUP(G386,Paramètres!$B$6:$F$8,2,FALSE()),"")</f>
        <v>5</v>
      </c>
      <c r="I386" s="13" t="s">
        <v>40</v>
      </c>
      <c r="J386" s="11" t="s">
        <v>41</v>
      </c>
      <c r="K386" s="12">
        <v>46184</v>
      </c>
      <c r="L386" s="12">
        <v>46184</v>
      </c>
      <c r="M386" s="13" t="s">
        <v>49</v>
      </c>
      <c r="N386" s="14" t="s">
        <v>76</v>
      </c>
      <c r="O386" s="12">
        <v>46191</v>
      </c>
      <c r="P386" s="11">
        <f t="shared" si="30"/>
        <v>7</v>
      </c>
      <c r="Q386" s="11" t="str">
        <f t="shared" ca="1" si="31"/>
        <v>-</v>
      </c>
      <c r="R386" s="11">
        <f>IFERROR(VLOOKUP(G386,Paramètres!$B$6:$F$8,3,FALSE()),"")</f>
        <v>2</v>
      </c>
      <c r="S386" s="11" t="str">
        <f t="shared" ca="1" si="32"/>
        <v>-</v>
      </c>
      <c r="T386" s="12">
        <v>46192</v>
      </c>
      <c r="U386" s="11">
        <f t="shared" si="33"/>
        <v>1</v>
      </c>
      <c r="V386" s="11">
        <f t="shared" si="34"/>
        <v>1</v>
      </c>
      <c r="W386" s="11" t="str">
        <f t="shared" si="35"/>
        <v>Hors délais</v>
      </c>
    </row>
    <row r="387" spans="1:23">
      <c r="A387" s="11">
        <v>371</v>
      </c>
      <c r="B387" s="12">
        <v>46184</v>
      </c>
      <c r="C387" s="13" t="s">
        <v>1022</v>
      </c>
      <c r="D387" s="13" t="s">
        <v>123</v>
      </c>
      <c r="E387" s="13"/>
      <c r="F387" s="13" t="s">
        <v>1023</v>
      </c>
      <c r="G387" s="11" t="s">
        <v>53</v>
      </c>
      <c r="H387" s="11" t="str">
        <f>IFERROR(VLOOKUP(G387,Paramètres!$B$6:$F$8,2,FALSE()),"")</f>
        <v>N/A</v>
      </c>
      <c r="I387" s="13" t="s">
        <v>74</v>
      </c>
      <c r="J387" s="11" t="s">
        <v>41</v>
      </c>
      <c r="K387" s="12">
        <v>46185</v>
      </c>
      <c r="L387" s="12">
        <v>46185</v>
      </c>
      <c r="M387" s="13" t="s">
        <v>56</v>
      </c>
      <c r="N387" s="14" t="s">
        <v>87</v>
      </c>
      <c r="O387" s="12"/>
      <c r="P387" s="11" t="str">
        <f t="shared" si="30"/>
        <v>-</v>
      </c>
      <c r="Q387" s="11" t="str">
        <f t="shared" ca="1" si="31"/>
        <v>-</v>
      </c>
      <c r="R387" s="11" t="str">
        <f>IFERROR(VLOOKUP(G387,Paramètres!$B$6:$F$8,3,FALSE()),"")</f>
        <v>N/A</v>
      </c>
      <c r="S387" s="11" t="str">
        <f t="shared" ca="1" si="32"/>
        <v>-</v>
      </c>
      <c r="T387" s="12"/>
      <c r="U387" s="11" t="str">
        <f t="shared" si="33"/>
        <v>-</v>
      </c>
      <c r="V387" s="11" t="str">
        <f t="shared" si="34"/>
        <v>-</v>
      </c>
      <c r="W387" s="11" t="str">
        <f t="shared" si="35"/>
        <v>Ne nécessite pas de réponse</v>
      </c>
    </row>
    <row r="388" spans="1:23">
      <c r="A388" s="11">
        <v>372</v>
      </c>
      <c r="B388" s="12">
        <v>46184</v>
      </c>
      <c r="C388" s="13" t="s">
        <v>1024</v>
      </c>
      <c r="D388" s="13" t="s">
        <v>145</v>
      </c>
      <c r="E388" s="13"/>
      <c r="F388" s="13" t="s">
        <v>1025</v>
      </c>
      <c r="G388" s="11" t="s">
        <v>84</v>
      </c>
      <c r="H388" s="11">
        <f>IFERROR(VLOOKUP(G388,Paramètres!$B$6:$F$8,2,FALSE()),"")</f>
        <v>5</v>
      </c>
      <c r="I388" s="13" t="s">
        <v>240</v>
      </c>
      <c r="J388" s="11" t="s">
        <v>55</v>
      </c>
      <c r="K388" s="12">
        <v>46184</v>
      </c>
      <c r="L388" s="12">
        <v>46184</v>
      </c>
      <c r="M388" s="13" t="s">
        <v>42</v>
      </c>
      <c r="N388" s="14" t="s">
        <v>66</v>
      </c>
      <c r="O388" s="12">
        <v>46197</v>
      </c>
      <c r="P388" s="11">
        <f t="shared" si="30"/>
        <v>13</v>
      </c>
      <c r="Q388" s="11" t="str">
        <f t="shared" ca="1" si="31"/>
        <v>-</v>
      </c>
      <c r="R388" s="11">
        <f>IFERROR(VLOOKUP(G388,Paramètres!$B$6:$F$8,3,FALSE()),"")</f>
        <v>2</v>
      </c>
      <c r="S388" s="11" t="str">
        <f t="shared" ca="1" si="32"/>
        <v>-</v>
      </c>
      <c r="T388" s="12">
        <v>46199</v>
      </c>
      <c r="U388" s="11">
        <f t="shared" si="33"/>
        <v>2</v>
      </c>
      <c r="V388" s="11">
        <f t="shared" si="34"/>
        <v>8</v>
      </c>
      <c r="W388" s="11" t="str">
        <f t="shared" si="35"/>
        <v>Hors délais</v>
      </c>
    </row>
    <row r="389" spans="1:23">
      <c r="A389" s="11">
        <v>373</v>
      </c>
      <c r="B389" s="12">
        <v>46184</v>
      </c>
      <c r="C389" s="13" t="s">
        <v>1026</v>
      </c>
      <c r="D389" s="13" t="s">
        <v>178</v>
      </c>
      <c r="E389" s="13" t="s">
        <v>1027</v>
      </c>
      <c r="F389" s="13" t="s">
        <v>1028</v>
      </c>
      <c r="G389" s="11" t="s">
        <v>39</v>
      </c>
      <c r="H389" s="11">
        <f>IFERROR(VLOOKUP(G389,Paramètres!$B$6:$F$8,2,FALSE()),"")</f>
        <v>5</v>
      </c>
      <c r="I389" s="13" t="s">
        <v>47</v>
      </c>
      <c r="J389" s="11" t="s">
        <v>48</v>
      </c>
      <c r="K389" s="12">
        <v>46185</v>
      </c>
      <c r="L389" s="12">
        <v>46185</v>
      </c>
      <c r="M389" s="13" t="s">
        <v>86</v>
      </c>
      <c r="N389" s="14" t="s">
        <v>121</v>
      </c>
      <c r="O389" s="12">
        <v>46189</v>
      </c>
      <c r="P389" s="11">
        <f t="shared" si="30"/>
        <v>5</v>
      </c>
      <c r="Q389" s="11" t="str">
        <f t="shared" ca="1" si="31"/>
        <v>-</v>
      </c>
      <c r="R389" s="11">
        <f>IFERROR(VLOOKUP(G389,Paramètres!$B$6:$F$8,3,FALSE()),"")</f>
        <v>2</v>
      </c>
      <c r="S389" s="11" t="str">
        <f t="shared" ca="1" si="32"/>
        <v>-</v>
      </c>
      <c r="T389" s="12">
        <v>46191</v>
      </c>
      <c r="U389" s="11">
        <f t="shared" si="33"/>
        <v>2</v>
      </c>
      <c r="V389" s="11">
        <f t="shared" si="34"/>
        <v>0</v>
      </c>
      <c r="W389" s="11" t="str">
        <f t="shared" si="35"/>
        <v>Dans les délais</v>
      </c>
    </row>
    <row r="390" spans="1:23">
      <c r="A390" s="11">
        <v>374</v>
      </c>
      <c r="B390" s="12">
        <v>46185</v>
      </c>
      <c r="C390" s="13" t="s">
        <v>1029</v>
      </c>
      <c r="D390" s="13" t="s">
        <v>123</v>
      </c>
      <c r="E390" s="13" t="s">
        <v>1030</v>
      </c>
      <c r="F390" s="13" t="s">
        <v>1031</v>
      </c>
      <c r="G390" s="11" t="s">
        <v>84</v>
      </c>
      <c r="H390" s="11">
        <f>IFERROR(VLOOKUP(G390,Paramètres!$B$6:$F$8,2,FALSE()),"")</f>
        <v>5</v>
      </c>
      <c r="I390" s="13" t="s">
        <v>426</v>
      </c>
      <c r="J390" s="11" t="s">
        <v>41</v>
      </c>
      <c r="K390" s="12">
        <v>46185</v>
      </c>
      <c r="L390" s="12">
        <v>46185</v>
      </c>
      <c r="M390" s="13" t="s">
        <v>86</v>
      </c>
      <c r="N390" s="14" t="s">
        <v>43</v>
      </c>
      <c r="O390" s="12">
        <v>46190</v>
      </c>
      <c r="P390" s="11">
        <f t="shared" si="30"/>
        <v>5</v>
      </c>
      <c r="Q390" s="11" t="str">
        <f t="shared" ca="1" si="31"/>
        <v>-</v>
      </c>
      <c r="R390" s="11">
        <f>IFERROR(VLOOKUP(G390,Paramètres!$B$6:$F$8,3,FALSE()),"")</f>
        <v>2</v>
      </c>
      <c r="S390" s="11" t="str">
        <f t="shared" ca="1" si="32"/>
        <v>-</v>
      </c>
      <c r="T390" s="12">
        <v>46192</v>
      </c>
      <c r="U390" s="11">
        <f t="shared" si="33"/>
        <v>2</v>
      </c>
      <c r="V390" s="11">
        <f t="shared" si="34"/>
        <v>0</v>
      </c>
      <c r="W390" s="11" t="str">
        <f t="shared" si="35"/>
        <v>Dans les délais</v>
      </c>
    </row>
    <row r="391" spans="1:23">
      <c r="A391" s="11">
        <v>375</v>
      </c>
      <c r="B391" s="12">
        <v>46185</v>
      </c>
      <c r="C391" s="13" t="s">
        <v>1032</v>
      </c>
      <c r="D391" s="13" t="s">
        <v>115</v>
      </c>
      <c r="E391" s="13" t="s">
        <v>1033</v>
      </c>
      <c r="F391" s="13" t="s">
        <v>1034</v>
      </c>
      <c r="G391" s="11" t="s">
        <v>39</v>
      </c>
      <c r="H391" s="11">
        <f>IFERROR(VLOOKUP(G391,Paramètres!$B$6:$F$8,2,FALSE()),"")</f>
        <v>5</v>
      </c>
      <c r="I391" s="13" t="s">
        <v>426</v>
      </c>
      <c r="J391" s="11" t="s">
        <v>41</v>
      </c>
      <c r="K391" s="12">
        <v>46185</v>
      </c>
      <c r="L391" s="12">
        <v>46185</v>
      </c>
      <c r="M391" s="13"/>
      <c r="N391" s="14" t="s">
        <v>87</v>
      </c>
      <c r="O391" s="12">
        <v>46195</v>
      </c>
      <c r="P391" s="11">
        <f t="shared" si="30"/>
        <v>10</v>
      </c>
      <c r="Q391" s="11" t="str">
        <f t="shared" ca="1" si="31"/>
        <v>-</v>
      </c>
      <c r="R391" s="11">
        <f>IFERROR(VLOOKUP(G391,Paramètres!$B$6:$F$8,3,FALSE()),"")</f>
        <v>2</v>
      </c>
      <c r="S391" s="11" t="str">
        <f t="shared" ca="1" si="32"/>
        <v>-</v>
      </c>
      <c r="T391" s="12">
        <v>46197</v>
      </c>
      <c r="U391" s="11">
        <f t="shared" si="33"/>
        <v>2</v>
      </c>
      <c r="V391" s="11">
        <f t="shared" si="34"/>
        <v>5</v>
      </c>
      <c r="W391" s="11" t="str">
        <f t="shared" si="35"/>
        <v>Hors délais</v>
      </c>
    </row>
    <row r="392" spans="1:23">
      <c r="A392" s="11">
        <v>376</v>
      </c>
      <c r="B392" s="12">
        <v>46185</v>
      </c>
      <c r="C392" s="13" t="s">
        <v>1035</v>
      </c>
      <c r="D392" s="13" t="s">
        <v>37</v>
      </c>
      <c r="E392" s="13" t="s">
        <v>1036</v>
      </c>
      <c r="F392" s="13" t="s">
        <v>1037</v>
      </c>
      <c r="G392" s="11" t="s">
        <v>39</v>
      </c>
      <c r="H392" s="11">
        <f>IFERROR(VLOOKUP(G392,Paramètres!$B$6:$F$8,2,FALSE()),"")</f>
        <v>5</v>
      </c>
      <c r="I392" s="13" t="s">
        <v>65</v>
      </c>
      <c r="J392" s="11" t="s">
        <v>55</v>
      </c>
      <c r="K392" s="12">
        <v>46185</v>
      </c>
      <c r="L392" s="12">
        <v>46185</v>
      </c>
      <c r="M392" s="13" t="s">
        <v>56</v>
      </c>
      <c r="N392" s="14" t="s">
        <v>57</v>
      </c>
      <c r="O392" s="12">
        <v>46190</v>
      </c>
      <c r="P392" s="11">
        <f t="shared" si="30"/>
        <v>5</v>
      </c>
      <c r="Q392" s="11" t="str">
        <f t="shared" ca="1" si="31"/>
        <v>-</v>
      </c>
      <c r="R392" s="11">
        <f>IFERROR(VLOOKUP(G392,Paramètres!$B$6:$F$8,3,FALSE()),"")</f>
        <v>2</v>
      </c>
      <c r="S392" s="11" t="str">
        <f t="shared" ca="1" si="32"/>
        <v>-</v>
      </c>
      <c r="T392" s="12">
        <v>46191</v>
      </c>
      <c r="U392" s="11">
        <f t="shared" si="33"/>
        <v>1</v>
      </c>
      <c r="V392" s="11">
        <f t="shared" si="34"/>
        <v>-1</v>
      </c>
      <c r="W392" s="11" t="str">
        <f t="shared" si="35"/>
        <v>Dans les délais</v>
      </c>
    </row>
    <row r="393" spans="1:23">
      <c r="A393" s="11">
        <v>377</v>
      </c>
      <c r="B393" s="12">
        <v>46188</v>
      </c>
      <c r="C393" s="13" t="s">
        <v>1038</v>
      </c>
      <c r="D393" s="13" t="s">
        <v>137</v>
      </c>
      <c r="E393" s="13" t="s">
        <v>1039</v>
      </c>
      <c r="F393" s="13" t="s">
        <v>1040</v>
      </c>
      <c r="G393" s="11" t="s">
        <v>39</v>
      </c>
      <c r="H393" s="11">
        <f>IFERROR(VLOOKUP(G393,Paramètres!$B$6:$F$8,2,FALSE()),"")</f>
        <v>5</v>
      </c>
      <c r="I393" s="13" t="s">
        <v>54</v>
      </c>
      <c r="J393" s="11" t="s">
        <v>55</v>
      </c>
      <c r="K393" s="12">
        <v>46188</v>
      </c>
      <c r="L393" s="12">
        <v>46188</v>
      </c>
      <c r="M393" s="13" t="s">
        <v>86</v>
      </c>
      <c r="N393" s="14" t="s">
        <v>57</v>
      </c>
      <c r="O393" s="12">
        <v>46192</v>
      </c>
      <c r="P393" s="11">
        <f t="shared" si="30"/>
        <v>4</v>
      </c>
      <c r="Q393" s="11" t="str">
        <f t="shared" ca="1" si="31"/>
        <v>-</v>
      </c>
      <c r="R393" s="11">
        <f>IFERROR(VLOOKUP(G393,Paramètres!$B$6:$F$8,3,FALSE()),"")</f>
        <v>2</v>
      </c>
      <c r="S393" s="11" t="str">
        <f t="shared" ca="1" si="32"/>
        <v>-</v>
      </c>
      <c r="T393" s="12">
        <v>46196</v>
      </c>
      <c r="U393" s="11">
        <f t="shared" si="33"/>
        <v>4</v>
      </c>
      <c r="V393" s="11">
        <f t="shared" si="34"/>
        <v>1</v>
      </c>
      <c r="W393" s="11" t="str">
        <f t="shared" si="35"/>
        <v>Hors délais</v>
      </c>
    </row>
    <row r="394" spans="1:23">
      <c r="A394" s="11">
        <v>378</v>
      </c>
      <c r="B394" s="12">
        <v>46189</v>
      </c>
      <c r="C394" s="13" t="s">
        <v>1041</v>
      </c>
      <c r="D394" s="13" t="s">
        <v>68</v>
      </c>
      <c r="E394" s="13" t="s">
        <v>1042</v>
      </c>
      <c r="F394" s="13" t="s">
        <v>1043</v>
      </c>
      <c r="G394" s="11" t="s">
        <v>53</v>
      </c>
      <c r="H394" s="11" t="str">
        <f>IFERROR(VLOOKUP(G394,Paramètres!$B$6:$F$8,2,FALSE()),"")</f>
        <v>N/A</v>
      </c>
      <c r="I394" s="13" t="s">
        <v>228</v>
      </c>
      <c r="J394" s="11" t="s">
        <v>55</v>
      </c>
      <c r="K394" s="12">
        <v>46190</v>
      </c>
      <c r="L394" s="12">
        <v>46190</v>
      </c>
      <c r="M394" s="13" t="s">
        <v>56</v>
      </c>
      <c r="N394" s="14" t="s">
        <v>102</v>
      </c>
      <c r="O394" s="12"/>
      <c r="P394" s="11" t="str">
        <f t="shared" si="30"/>
        <v>-</v>
      </c>
      <c r="Q394" s="11" t="str">
        <f t="shared" ca="1" si="31"/>
        <v>-</v>
      </c>
      <c r="R394" s="11" t="str">
        <f>IFERROR(VLOOKUP(G394,Paramètres!$B$6:$F$8,3,FALSE()),"")</f>
        <v>N/A</v>
      </c>
      <c r="S394" s="11" t="str">
        <f t="shared" ca="1" si="32"/>
        <v>-</v>
      </c>
      <c r="T394" s="12"/>
      <c r="U394" s="11" t="str">
        <f t="shared" si="33"/>
        <v>-</v>
      </c>
      <c r="V394" s="11" t="str">
        <f t="shared" si="34"/>
        <v>-</v>
      </c>
      <c r="W394" s="11" t="str">
        <f t="shared" si="35"/>
        <v>Ne nécessite pas de réponse</v>
      </c>
    </row>
    <row r="395" spans="1:23">
      <c r="A395" s="11">
        <v>379</v>
      </c>
      <c r="B395" s="12">
        <v>46189</v>
      </c>
      <c r="C395" s="13" t="s">
        <v>1044</v>
      </c>
      <c r="D395" s="13" t="s">
        <v>68</v>
      </c>
      <c r="E395" s="13"/>
      <c r="F395" s="13" t="s">
        <v>1045</v>
      </c>
      <c r="G395" s="11" t="s">
        <v>39</v>
      </c>
      <c r="H395" s="11">
        <f>IFERROR(VLOOKUP(G395,Paramètres!$B$6:$F$8,2,FALSE()),"")</f>
        <v>5</v>
      </c>
      <c r="I395" s="13" t="s">
        <v>65</v>
      </c>
      <c r="J395" s="11" t="s">
        <v>55</v>
      </c>
      <c r="K395" s="12">
        <v>46190</v>
      </c>
      <c r="L395" s="12">
        <v>46191</v>
      </c>
      <c r="M395" s="13"/>
      <c r="N395" s="14" t="s">
        <v>57</v>
      </c>
      <c r="O395" s="12">
        <v>46196</v>
      </c>
      <c r="P395" s="11">
        <f t="shared" si="30"/>
        <v>7</v>
      </c>
      <c r="Q395" s="11" t="str">
        <f t="shared" ca="1" si="31"/>
        <v>-</v>
      </c>
      <c r="R395" s="11">
        <f>IFERROR(VLOOKUP(G395,Paramètres!$B$6:$F$8,3,FALSE()),"")</f>
        <v>2</v>
      </c>
      <c r="S395" s="11" t="str">
        <f t="shared" ca="1" si="32"/>
        <v>-</v>
      </c>
      <c r="T395" s="12">
        <v>46197</v>
      </c>
      <c r="U395" s="11">
        <f t="shared" si="33"/>
        <v>1</v>
      </c>
      <c r="V395" s="11">
        <f t="shared" si="34"/>
        <v>1</v>
      </c>
      <c r="W395" s="11" t="str">
        <f t="shared" si="35"/>
        <v>Hors délais</v>
      </c>
    </row>
    <row r="396" spans="1:23">
      <c r="A396" s="11">
        <v>380</v>
      </c>
      <c r="B396" s="12">
        <v>46189</v>
      </c>
      <c r="C396" s="13" t="s">
        <v>1046</v>
      </c>
      <c r="D396" s="13" t="s">
        <v>100</v>
      </c>
      <c r="E396" s="13" t="s">
        <v>1047</v>
      </c>
      <c r="F396" s="13" t="s">
        <v>1048</v>
      </c>
      <c r="G396" s="11" t="s">
        <v>39</v>
      </c>
      <c r="H396" s="11">
        <f>IFERROR(VLOOKUP(G396,Paramètres!$B$6:$F$8,2,FALSE()),"")</f>
        <v>5</v>
      </c>
      <c r="I396" s="13" t="s">
        <v>74</v>
      </c>
      <c r="J396" s="11" t="s">
        <v>41</v>
      </c>
      <c r="K396" s="12">
        <v>46189</v>
      </c>
      <c r="L396" s="12">
        <v>46190</v>
      </c>
      <c r="M396" s="13" t="s">
        <v>56</v>
      </c>
      <c r="N396" s="14" t="s">
        <v>43</v>
      </c>
      <c r="O396" s="12">
        <v>46196</v>
      </c>
      <c r="P396" s="11">
        <f t="shared" si="30"/>
        <v>7</v>
      </c>
      <c r="Q396" s="11" t="str">
        <f t="shared" ca="1" si="31"/>
        <v>-</v>
      </c>
      <c r="R396" s="11">
        <f>IFERROR(VLOOKUP(G396,Paramètres!$B$6:$F$8,3,FALSE()),"")</f>
        <v>2</v>
      </c>
      <c r="S396" s="11" t="str">
        <f t="shared" ca="1" si="32"/>
        <v>-</v>
      </c>
      <c r="T396" s="12">
        <v>46197</v>
      </c>
      <c r="U396" s="11">
        <f t="shared" si="33"/>
        <v>1</v>
      </c>
      <c r="V396" s="11">
        <f t="shared" si="34"/>
        <v>1</v>
      </c>
      <c r="W396" s="11" t="str">
        <f t="shared" si="35"/>
        <v>Hors délais</v>
      </c>
    </row>
    <row r="397" spans="1:23">
      <c r="A397" s="11">
        <v>381</v>
      </c>
      <c r="B397" s="12">
        <v>46189</v>
      </c>
      <c r="C397" s="13" t="s">
        <v>1049</v>
      </c>
      <c r="D397" s="13" t="s">
        <v>175</v>
      </c>
      <c r="E397" s="13"/>
      <c r="F397" s="13" t="s">
        <v>1050</v>
      </c>
      <c r="G397" s="11" t="s">
        <v>39</v>
      </c>
      <c r="H397" s="11">
        <f>IFERROR(VLOOKUP(G397,Paramètres!$B$6:$F$8,2,FALSE()),"")</f>
        <v>5</v>
      </c>
      <c r="I397" s="13" t="s">
        <v>155</v>
      </c>
      <c r="J397" s="11" t="s">
        <v>48</v>
      </c>
      <c r="K397" s="12">
        <v>46189</v>
      </c>
      <c r="L397" s="12">
        <v>46189</v>
      </c>
      <c r="M397" s="13" t="s">
        <v>56</v>
      </c>
      <c r="N397" s="14" t="s">
        <v>50</v>
      </c>
      <c r="O397" s="12">
        <v>46196</v>
      </c>
      <c r="P397" s="11">
        <f t="shared" si="30"/>
        <v>7</v>
      </c>
      <c r="Q397" s="11" t="str">
        <f t="shared" ca="1" si="31"/>
        <v>-</v>
      </c>
      <c r="R397" s="11">
        <f>IFERROR(VLOOKUP(G397,Paramètres!$B$6:$F$8,3,FALSE()),"")</f>
        <v>2</v>
      </c>
      <c r="S397" s="11" t="str">
        <f t="shared" ca="1" si="32"/>
        <v>-</v>
      </c>
      <c r="T397" s="12">
        <v>46198</v>
      </c>
      <c r="U397" s="11">
        <f t="shared" si="33"/>
        <v>2</v>
      </c>
      <c r="V397" s="11">
        <f t="shared" si="34"/>
        <v>2</v>
      </c>
      <c r="W397" s="11" t="str">
        <f t="shared" si="35"/>
        <v>Hors délais</v>
      </c>
    </row>
    <row r="398" spans="1:23">
      <c r="A398" s="11">
        <v>382</v>
      </c>
      <c r="B398" s="12">
        <v>46189</v>
      </c>
      <c r="C398" s="13" t="s">
        <v>1051</v>
      </c>
      <c r="D398" s="13" t="s">
        <v>104</v>
      </c>
      <c r="E398" s="13" t="s">
        <v>1052</v>
      </c>
      <c r="F398" s="13" t="s">
        <v>1053</v>
      </c>
      <c r="G398" s="11" t="s">
        <v>53</v>
      </c>
      <c r="H398" s="11" t="str">
        <f>IFERROR(VLOOKUP(G398,Paramètres!$B$6:$F$8,2,FALSE()),"")</f>
        <v>N/A</v>
      </c>
      <c r="I398" s="13" t="s">
        <v>98</v>
      </c>
      <c r="J398" s="11" t="s">
        <v>41</v>
      </c>
      <c r="K398" s="12">
        <v>46190</v>
      </c>
      <c r="L398" s="12">
        <v>46191</v>
      </c>
      <c r="M398" s="13" t="s">
        <v>61</v>
      </c>
      <c r="N398" s="14" t="s">
        <v>43</v>
      </c>
      <c r="O398" s="12"/>
      <c r="P398" s="11" t="str">
        <f t="shared" si="30"/>
        <v>-</v>
      </c>
      <c r="Q398" s="11" t="str">
        <f t="shared" ca="1" si="31"/>
        <v>-</v>
      </c>
      <c r="R398" s="11" t="str">
        <f>IFERROR(VLOOKUP(G398,Paramètres!$B$6:$F$8,3,FALSE()),"")</f>
        <v>N/A</v>
      </c>
      <c r="S398" s="11" t="str">
        <f t="shared" ca="1" si="32"/>
        <v>-</v>
      </c>
      <c r="T398" s="12"/>
      <c r="U398" s="11" t="str">
        <f t="shared" si="33"/>
        <v>-</v>
      </c>
      <c r="V398" s="11" t="str">
        <f t="shared" si="34"/>
        <v>-</v>
      </c>
      <c r="W398" s="11" t="str">
        <f t="shared" si="35"/>
        <v>Ne nécessite pas de réponse</v>
      </c>
    </row>
    <row r="399" spans="1:23">
      <c r="A399" s="11">
        <v>383</v>
      </c>
      <c r="B399" s="12">
        <v>46189</v>
      </c>
      <c r="C399" s="13" t="s">
        <v>1054</v>
      </c>
      <c r="D399" s="13" t="s">
        <v>63</v>
      </c>
      <c r="E399" s="13" t="s">
        <v>1055</v>
      </c>
      <c r="F399" s="13" t="s">
        <v>1056</v>
      </c>
      <c r="G399" s="11" t="s">
        <v>39</v>
      </c>
      <c r="H399" s="11">
        <f>IFERROR(VLOOKUP(G399,Paramètres!$B$6:$F$8,2,FALSE()),"")</f>
        <v>5</v>
      </c>
      <c r="I399" s="13" t="s">
        <v>130</v>
      </c>
      <c r="J399" s="11" t="s">
        <v>48</v>
      </c>
      <c r="K399" s="12">
        <v>46189</v>
      </c>
      <c r="L399" s="12">
        <v>46189</v>
      </c>
      <c r="M399" s="13" t="s">
        <v>42</v>
      </c>
      <c r="N399" s="14" t="s">
        <v>121</v>
      </c>
      <c r="O399" s="12"/>
      <c r="P399" s="11" t="str">
        <f t="shared" si="30"/>
        <v/>
      </c>
      <c r="Q399" s="11" t="str">
        <f t="shared" ca="1" si="31"/>
        <v>ROUGE</v>
      </c>
      <c r="R399" s="11">
        <f>IFERROR(VLOOKUP(G399,Paramètres!$B$6:$F$8,3,FALSE()),"")</f>
        <v>2</v>
      </c>
      <c r="S399" s="11" t="str">
        <f t="shared" ca="1" si="32"/>
        <v/>
      </c>
      <c r="T399" s="12"/>
      <c r="U399" s="11" t="str">
        <f t="shared" si="33"/>
        <v/>
      </c>
      <c r="V399" s="11" t="str">
        <f t="shared" si="34"/>
        <v/>
      </c>
      <c r="W399" s="11" t="str">
        <f t="shared" si="35"/>
        <v/>
      </c>
    </row>
    <row r="400" spans="1:23">
      <c r="A400" s="11">
        <v>384</v>
      </c>
      <c r="B400" s="12">
        <v>46189</v>
      </c>
      <c r="C400" s="13" t="s">
        <v>1057</v>
      </c>
      <c r="D400" s="13" t="s">
        <v>45</v>
      </c>
      <c r="E400" s="13"/>
      <c r="F400" s="13" t="s">
        <v>1058</v>
      </c>
      <c r="G400" s="11" t="s">
        <v>39</v>
      </c>
      <c r="H400" s="11">
        <f>IFERROR(VLOOKUP(G400,Paramètres!$B$6:$F$8,2,FALSE()),"")</f>
        <v>5</v>
      </c>
      <c r="I400" s="13" t="s">
        <v>120</v>
      </c>
      <c r="J400" s="11" t="s">
        <v>48</v>
      </c>
      <c r="K400" s="12">
        <v>46189</v>
      </c>
      <c r="L400" s="12">
        <v>46189</v>
      </c>
      <c r="M400" s="13" t="s">
        <v>61</v>
      </c>
      <c r="N400" s="14" t="s">
        <v>50</v>
      </c>
      <c r="O400" s="12">
        <v>46198</v>
      </c>
      <c r="P400" s="11">
        <f t="shared" si="30"/>
        <v>9</v>
      </c>
      <c r="Q400" s="11" t="str">
        <f t="shared" ca="1" si="31"/>
        <v>-</v>
      </c>
      <c r="R400" s="11">
        <f>IFERROR(VLOOKUP(G400,Paramètres!$B$6:$F$8,3,FALSE()),"")</f>
        <v>2</v>
      </c>
      <c r="S400" s="11" t="str">
        <f t="shared" ca="1" si="32"/>
        <v>-</v>
      </c>
      <c r="T400" s="12">
        <v>46203</v>
      </c>
      <c r="U400" s="11">
        <f t="shared" si="33"/>
        <v>5</v>
      </c>
      <c r="V400" s="11">
        <f t="shared" si="34"/>
        <v>7</v>
      </c>
      <c r="W400" s="11" t="str">
        <f t="shared" si="35"/>
        <v>Hors délais</v>
      </c>
    </row>
    <row r="401" spans="1:23" ht="28.5">
      <c r="A401" s="11">
        <v>385</v>
      </c>
      <c r="B401" s="12">
        <v>46190</v>
      </c>
      <c r="C401" s="13" t="s">
        <v>1059</v>
      </c>
      <c r="D401" s="13" t="s">
        <v>63</v>
      </c>
      <c r="E401" s="13" t="s">
        <v>1060</v>
      </c>
      <c r="F401" s="13" t="s">
        <v>1061</v>
      </c>
      <c r="G401" s="11" t="s">
        <v>53</v>
      </c>
      <c r="H401" s="11" t="str">
        <f>IFERROR(VLOOKUP(G401,Paramètres!$B$6:$F$8,2,FALSE()),"")</f>
        <v>N/A</v>
      </c>
      <c r="I401" s="13" t="s">
        <v>108</v>
      </c>
      <c r="J401" s="11" t="s">
        <v>55</v>
      </c>
      <c r="K401" s="12">
        <v>46190</v>
      </c>
      <c r="L401" s="12">
        <v>46190</v>
      </c>
      <c r="M401" s="13" t="s">
        <v>75</v>
      </c>
      <c r="N401" s="14" t="s">
        <v>57</v>
      </c>
      <c r="O401" s="12"/>
      <c r="P401" s="11" t="str">
        <f t="shared" ref="P401:P464" si="36">IF(G401="Ne nécessite pas de réponse","-",IF(AND(ISNUMBER(B401),ISNUMBER(O401)),O401-B401,""))</f>
        <v>-</v>
      </c>
      <c r="Q401" s="11" t="str">
        <f t="shared" ref="Q401:Q464" ca="1" si="37">IF(G401="Ne nécessite pas de réponse","-",IF(O401&lt;&gt;"","-",IF(OR(B401="",H401="",NOT(ISNUMBER(H401)),H401=0),"",IF((TODAY()-B401)/H401&lt;=0.5,"VERT",IF((TODAY()-B401)/H401&lt;=0.8,"JAUNE","ROUGE")))))</f>
        <v>-</v>
      </c>
      <c r="R401" s="11" t="str">
        <f>IFERROR(VLOOKUP(G401,Paramètres!$B$6:$F$8,3,FALSE()),"")</f>
        <v>N/A</v>
      </c>
      <c r="S401" s="11" t="str">
        <f t="shared" ref="S401:S464" ca="1" si="38">IF(G401="Ne nécessite pas de réponse","-",IF(O401="","",IF(T401&lt;&gt;"","-",IF(OR(R401="",NOT(ISNUMBER(R401)),R401=0),"",IF((TODAY()-O401)/R401&lt;=0.5,"VERT",IF((TODAY()-O401)/R401&lt;=0.8,"JAUNE","ROUGE"))))))</f>
        <v>-</v>
      </c>
      <c r="T401" s="12"/>
      <c r="U401" s="11" t="str">
        <f t="shared" ref="U401:U464" si="39">IF(G401="Ne nécessite pas de réponse","-",IF(AND(ISNUMBER(O401),ISNUMBER(T401)),T401-O401,""))</f>
        <v>-</v>
      </c>
      <c r="V401" s="11" t="str">
        <f t="shared" ref="V401:V464" si="40">IF(G401="Ne nécessite pas de réponse","-",IF(AND(ISNUMBER(T401),ISNUMBER(B401),ISNUMBER(H401),ISNUMBER(R401)),T401-(B401+H401+R401),""))</f>
        <v>-</v>
      </c>
      <c r="W401" s="11" t="str">
        <f t="shared" ref="W401:W464" si="41">IF(G401="Ne nécessite pas de réponse","Ne nécessite pas de réponse",IF(T401="","",IF(V401&lt;=0,"Dans les délais","Hors délais")))</f>
        <v>Ne nécessite pas de réponse</v>
      </c>
    </row>
    <row r="402" spans="1:23">
      <c r="A402" s="11">
        <v>386</v>
      </c>
      <c r="B402" s="12">
        <v>46190</v>
      </c>
      <c r="C402" s="13" t="s">
        <v>1062</v>
      </c>
      <c r="D402" s="13" t="s">
        <v>59</v>
      </c>
      <c r="E402" s="13" t="s">
        <v>1063</v>
      </c>
      <c r="F402" s="13" t="s">
        <v>1064</v>
      </c>
      <c r="G402" s="11" t="s">
        <v>39</v>
      </c>
      <c r="H402" s="11">
        <f>IFERROR(VLOOKUP(G402,Paramètres!$B$6:$F$8,2,FALSE()),"")</f>
        <v>5</v>
      </c>
      <c r="I402" s="13" t="s">
        <v>426</v>
      </c>
      <c r="J402" s="11" t="s">
        <v>41</v>
      </c>
      <c r="K402" s="12">
        <v>46190</v>
      </c>
      <c r="L402" s="12">
        <v>46190</v>
      </c>
      <c r="M402" s="13"/>
      <c r="N402" s="14" t="s">
        <v>87</v>
      </c>
      <c r="O402" s="12">
        <v>46196</v>
      </c>
      <c r="P402" s="11">
        <f t="shared" si="36"/>
        <v>6</v>
      </c>
      <c r="Q402" s="11" t="str">
        <f t="shared" ca="1" si="37"/>
        <v>-</v>
      </c>
      <c r="R402" s="11">
        <f>IFERROR(VLOOKUP(G402,Paramètres!$B$6:$F$8,3,FALSE()),"")</f>
        <v>2</v>
      </c>
      <c r="S402" s="11" t="str">
        <f t="shared" ca="1" si="38"/>
        <v>-</v>
      </c>
      <c r="T402" s="12">
        <v>46198</v>
      </c>
      <c r="U402" s="11">
        <f t="shared" si="39"/>
        <v>2</v>
      </c>
      <c r="V402" s="11">
        <f t="shared" si="40"/>
        <v>1</v>
      </c>
      <c r="W402" s="11" t="str">
        <f t="shared" si="41"/>
        <v>Hors délais</v>
      </c>
    </row>
    <row r="403" spans="1:23" ht="28.5">
      <c r="A403" s="11">
        <v>387</v>
      </c>
      <c r="B403" s="12">
        <v>46190</v>
      </c>
      <c r="C403" s="13" t="s">
        <v>1065</v>
      </c>
      <c r="D403" s="13" t="s">
        <v>230</v>
      </c>
      <c r="E403" s="13" t="s">
        <v>1066</v>
      </c>
      <c r="F403" s="13" t="s">
        <v>1067</v>
      </c>
      <c r="G403" s="11" t="s">
        <v>39</v>
      </c>
      <c r="H403" s="11">
        <f>IFERROR(VLOOKUP(G403,Paramètres!$B$6:$F$8,2,FALSE()),"")</f>
        <v>5</v>
      </c>
      <c r="I403" s="13" t="s">
        <v>168</v>
      </c>
      <c r="J403" s="11" t="s">
        <v>48</v>
      </c>
      <c r="K403" s="12">
        <v>46190</v>
      </c>
      <c r="L403" s="12">
        <v>46190</v>
      </c>
      <c r="M403" s="13" t="s">
        <v>75</v>
      </c>
      <c r="N403" s="14" t="s">
        <v>50</v>
      </c>
      <c r="O403" s="12"/>
      <c r="P403" s="11" t="str">
        <f t="shared" si="36"/>
        <v/>
      </c>
      <c r="Q403" s="11" t="str">
        <f t="shared" ca="1" si="37"/>
        <v>ROUGE</v>
      </c>
      <c r="R403" s="11">
        <f>IFERROR(VLOOKUP(G403,Paramètres!$B$6:$F$8,3,FALSE()),"")</f>
        <v>2</v>
      </c>
      <c r="S403" s="11" t="str">
        <f t="shared" ca="1" si="38"/>
        <v/>
      </c>
      <c r="T403" s="12"/>
      <c r="U403" s="11" t="str">
        <f t="shared" si="39"/>
        <v/>
      </c>
      <c r="V403" s="11" t="str">
        <f t="shared" si="40"/>
        <v/>
      </c>
      <c r="W403" s="11" t="str">
        <f t="shared" si="41"/>
        <v/>
      </c>
    </row>
    <row r="404" spans="1:23">
      <c r="A404" s="11">
        <v>388</v>
      </c>
      <c r="B404" s="12">
        <v>46190</v>
      </c>
      <c r="C404" s="13" t="s">
        <v>1068</v>
      </c>
      <c r="D404" s="13" t="s">
        <v>96</v>
      </c>
      <c r="E404" s="13"/>
      <c r="F404" s="13" t="s">
        <v>1069</v>
      </c>
      <c r="G404" s="11" t="s">
        <v>84</v>
      </c>
      <c r="H404" s="11">
        <f>IFERROR(VLOOKUP(G404,Paramètres!$B$6:$F$8,2,FALSE()),"")</f>
        <v>5</v>
      </c>
      <c r="I404" s="13" t="s">
        <v>85</v>
      </c>
      <c r="J404" s="11" t="s">
        <v>41</v>
      </c>
      <c r="K404" s="12">
        <v>46191</v>
      </c>
      <c r="L404" s="12">
        <v>46192</v>
      </c>
      <c r="M404" s="13"/>
      <c r="N404" s="14" t="s">
        <v>87</v>
      </c>
      <c r="O404" s="12">
        <v>46196</v>
      </c>
      <c r="P404" s="11">
        <f t="shared" si="36"/>
        <v>6</v>
      </c>
      <c r="Q404" s="11" t="str">
        <f t="shared" ca="1" si="37"/>
        <v>-</v>
      </c>
      <c r="R404" s="11">
        <f>IFERROR(VLOOKUP(G404,Paramètres!$B$6:$F$8,3,FALSE()),"")</f>
        <v>2</v>
      </c>
      <c r="S404" s="11" t="str">
        <f t="shared" ca="1" si="38"/>
        <v>-</v>
      </c>
      <c r="T404" s="12">
        <v>46197</v>
      </c>
      <c r="U404" s="11">
        <f t="shared" si="39"/>
        <v>1</v>
      </c>
      <c r="V404" s="11">
        <f t="shared" si="40"/>
        <v>0</v>
      </c>
      <c r="W404" s="11" t="str">
        <f t="shared" si="41"/>
        <v>Dans les délais</v>
      </c>
    </row>
    <row r="405" spans="1:23">
      <c r="A405" s="11">
        <v>389</v>
      </c>
      <c r="B405" s="12">
        <v>46191</v>
      </c>
      <c r="C405" s="13" t="s">
        <v>1070</v>
      </c>
      <c r="D405" s="13" t="s">
        <v>89</v>
      </c>
      <c r="E405" s="13" t="s">
        <v>1071</v>
      </c>
      <c r="F405" s="13" t="s">
        <v>1072</v>
      </c>
      <c r="G405" s="11" t="s">
        <v>53</v>
      </c>
      <c r="H405" s="11" t="str">
        <f>IFERROR(VLOOKUP(G405,Paramètres!$B$6:$F$8,2,FALSE()),"")</f>
        <v>N/A</v>
      </c>
      <c r="I405" s="13" t="s">
        <v>74</v>
      </c>
      <c r="J405" s="11" t="s">
        <v>41</v>
      </c>
      <c r="K405" s="12">
        <v>46191</v>
      </c>
      <c r="L405" s="12">
        <v>46192</v>
      </c>
      <c r="M405" s="13" t="s">
        <v>56</v>
      </c>
      <c r="N405" s="14" t="s">
        <v>87</v>
      </c>
      <c r="O405" s="12"/>
      <c r="P405" s="11" t="str">
        <f t="shared" si="36"/>
        <v>-</v>
      </c>
      <c r="Q405" s="11" t="str">
        <f t="shared" ca="1" si="37"/>
        <v>-</v>
      </c>
      <c r="R405" s="11" t="str">
        <f>IFERROR(VLOOKUP(G405,Paramètres!$B$6:$F$8,3,FALSE()),"")</f>
        <v>N/A</v>
      </c>
      <c r="S405" s="11" t="str">
        <f t="shared" ca="1" si="38"/>
        <v>-</v>
      </c>
      <c r="T405" s="12"/>
      <c r="U405" s="11" t="str">
        <f t="shared" si="39"/>
        <v>-</v>
      </c>
      <c r="V405" s="11" t="str">
        <f t="shared" si="40"/>
        <v>-</v>
      </c>
      <c r="W405" s="11" t="str">
        <f t="shared" si="41"/>
        <v>Ne nécessite pas de réponse</v>
      </c>
    </row>
    <row r="406" spans="1:23">
      <c r="A406" s="11">
        <v>390</v>
      </c>
      <c r="B406" s="12">
        <v>46192</v>
      </c>
      <c r="C406" s="13" t="s">
        <v>1073</v>
      </c>
      <c r="D406" s="13" t="s">
        <v>115</v>
      </c>
      <c r="E406" s="13"/>
      <c r="F406" s="13" t="s">
        <v>1074</v>
      </c>
      <c r="G406" s="11" t="s">
        <v>39</v>
      </c>
      <c r="H406" s="11">
        <f>IFERROR(VLOOKUP(G406,Paramètres!$B$6:$F$8,2,FALSE()),"")</f>
        <v>5</v>
      </c>
      <c r="I406" s="13" t="s">
        <v>185</v>
      </c>
      <c r="J406" s="11" t="s">
        <v>48</v>
      </c>
      <c r="K406" s="12">
        <v>46195</v>
      </c>
      <c r="L406" s="12">
        <v>46196</v>
      </c>
      <c r="M406" s="13" t="s">
        <v>56</v>
      </c>
      <c r="N406" s="14" t="s">
        <v>121</v>
      </c>
      <c r="O406" s="12">
        <v>46199</v>
      </c>
      <c r="P406" s="11">
        <f t="shared" si="36"/>
        <v>7</v>
      </c>
      <c r="Q406" s="11" t="str">
        <f t="shared" ca="1" si="37"/>
        <v>-</v>
      </c>
      <c r="R406" s="11">
        <f>IFERROR(VLOOKUP(G406,Paramètres!$B$6:$F$8,3,FALSE()),"")</f>
        <v>2</v>
      </c>
      <c r="S406" s="11" t="str">
        <f t="shared" ca="1" si="38"/>
        <v>-</v>
      </c>
      <c r="T406" s="12">
        <v>46206</v>
      </c>
      <c r="U406" s="11">
        <f t="shared" si="39"/>
        <v>7</v>
      </c>
      <c r="V406" s="11">
        <f t="shared" si="40"/>
        <v>7</v>
      </c>
      <c r="W406" s="11" t="str">
        <f t="shared" si="41"/>
        <v>Hors délais</v>
      </c>
    </row>
    <row r="407" spans="1:23">
      <c r="A407" s="11">
        <v>391</v>
      </c>
      <c r="B407" s="12">
        <v>46195</v>
      </c>
      <c r="C407" s="13" t="s">
        <v>1075</v>
      </c>
      <c r="D407" s="13" t="s">
        <v>89</v>
      </c>
      <c r="E407" s="13" t="s">
        <v>1076</v>
      </c>
      <c r="F407" s="13" t="s">
        <v>1077</v>
      </c>
      <c r="G407" s="11" t="s">
        <v>39</v>
      </c>
      <c r="H407" s="11">
        <f>IFERROR(VLOOKUP(G407,Paramètres!$B$6:$F$8,2,FALSE()),"")</f>
        <v>5</v>
      </c>
      <c r="I407" s="13" t="s">
        <v>71</v>
      </c>
      <c r="J407" s="11" t="s">
        <v>41</v>
      </c>
      <c r="K407" s="12">
        <v>46195</v>
      </c>
      <c r="L407" s="12">
        <v>46195</v>
      </c>
      <c r="M407" s="13" t="s">
        <v>86</v>
      </c>
      <c r="N407" s="14" t="s">
        <v>76</v>
      </c>
      <c r="O407" s="12">
        <v>46199</v>
      </c>
      <c r="P407" s="11">
        <f t="shared" si="36"/>
        <v>4</v>
      </c>
      <c r="Q407" s="11" t="str">
        <f t="shared" ca="1" si="37"/>
        <v>-</v>
      </c>
      <c r="R407" s="11">
        <f>IFERROR(VLOOKUP(G407,Paramètres!$B$6:$F$8,3,FALSE()),"")</f>
        <v>2</v>
      </c>
      <c r="S407" s="11" t="str">
        <f t="shared" ca="1" si="38"/>
        <v>-</v>
      </c>
      <c r="T407" s="12">
        <v>46202</v>
      </c>
      <c r="U407" s="11">
        <f t="shared" si="39"/>
        <v>3</v>
      </c>
      <c r="V407" s="11">
        <f t="shared" si="40"/>
        <v>0</v>
      </c>
      <c r="W407" s="11" t="str">
        <f t="shared" si="41"/>
        <v>Dans les délais</v>
      </c>
    </row>
    <row r="408" spans="1:23">
      <c r="A408" s="11">
        <v>392</v>
      </c>
      <c r="B408" s="12">
        <v>46195</v>
      </c>
      <c r="C408" s="13" t="s">
        <v>1078</v>
      </c>
      <c r="D408" s="13" t="s">
        <v>230</v>
      </c>
      <c r="E408" s="13"/>
      <c r="F408" s="13" t="s">
        <v>1079</v>
      </c>
      <c r="G408" s="11" t="s">
        <v>39</v>
      </c>
      <c r="H408" s="11">
        <f>IFERROR(VLOOKUP(G408,Paramètres!$B$6:$F$8,2,FALSE()),"")</f>
        <v>5</v>
      </c>
      <c r="I408" s="13" t="s">
        <v>120</v>
      </c>
      <c r="J408" s="11" t="s">
        <v>48</v>
      </c>
      <c r="K408" s="12">
        <v>46195</v>
      </c>
      <c r="L408" s="12">
        <v>46196</v>
      </c>
      <c r="M408" s="13" t="s">
        <v>61</v>
      </c>
      <c r="N408" s="14" t="s">
        <v>50</v>
      </c>
      <c r="O408" s="12">
        <v>46199</v>
      </c>
      <c r="P408" s="11">
        <f t="shared" si="36"/>
        <v>4</v>
      </c>
      <c r="Q408" s="11" t="str">
        <f t="shared" ca="1" si="37"/>
        <v>-</v>
      </c>
      <c r="R408" s="11">
        <f>IFERROR(VLOOKUP(G408,Paramètres!$B$6:$F$8,3,FALSE()),"")</f>
        <v>2</v>
      </c>
      <c r="S408" s="11" t="str">
        <f t="shared" ca="1" si="38"/>
        <v>-</v>
      </c>
      <c r="T408" s="12">
        <v>46203</v>
      </c>
      <c r="U408" s="11">
        <f t="shared" si="39"/>
        <v>4</v>
      </c>
      <c r="V408" s="11">
        <f t="shared" si="40"/>
        <v>1</v>
      </c>
      <c r="W408" s="11" t="str">
        <f t="shared" si="41"/>
        <v>Hors délais</v>
      </c>
    </row>
    <row r="409" spans="1:23">
      <c r="A409" s="11">
        <v>393</v>
      </c>
      <c r="B409" s="12">
        <v>46195</v>
      </c>
      <c r="C409" s="13" t="s">
        <v>1080</v>
      </c>
      <c r="D409" s="13" t="s">
        <v>145</v>
      </c>
      <c r="E409" s="13" t="s">
        <v>1081</v>
      </c>
      <c r="F409" s="13" t="s">
        <v>1082</v>
      </c>
      <c r="G409" s="11" t="s">
        <v>39</v>
      </c>
      <c r="H409" s="11">
        <f>IFERROR(VLOOKUP(G409,Paramètres!$B$6:$F$8,2,FALSE()),"")</f>
        <v>5</v>
      </c>
      <c r="I409" s="13" t="s">
        <v>120</v>
      </c>
      <c r="J409" s="11" t="s">
        <v>48</v>
      </c>
      <c r="K409" s="12">
        <v>46195</v>
      </c>
      <c r="L409" s="12">
        <v>46196</v>
      </c>
      <c r="M409" s="13" t="s">
        <v>42</v>
      </c>
      <c r="N409" s="14" t="s">
        <v>186</v>
      </c>
      <c r="O409" s="12">
        <v>46198</v>
      </c>
      <c r="P409" s="11">
        <f t="shared" si="36"/>
        <v>3</v>
      </c>
      <c r="Q409" s="11" t="str">
        <f t="shared" ca="1" si="37"/>
        <v>-</v>
      </c>
      <c r="R409" s="11">
        <f>IFERROR(VLOOKUP(G409,Paramètres!$B$6:$F$8,3,FALSE()),"")</f>
        <v>2</v>
      </c>
      <c r="S409" s="11" t="str">
        <f t="shared" ca="1" si="38"/>
        <v>-</v>
      </c>
      <c r="T409" s="12">
        <v>46199</v>
      </c>
      <c r="U409" s="11">
        <f t="shared" si="39"/>
        <v>1</v>
      </c>
      <c r="V409" s="11">
        <f t="shared" si="40"/>
        <v>-3</v>
      </c>
      <c r="W409" s="11" t="str">
        <f t="shared" si="41"/>
        <v>Dans les délais</v>
      </c>
    </row>
    <row r="410" spans="1:23">
      <c r="A410" s="11">
        <v>394</v>
      </c>
      <c r="B410" s="12">
        <v>46195</v>
      </c>
      <c r="C410" s="13" t="s">
        <v>1083</v>
      </c>
      <c r="D410" s="13" t="s">
        <v>81</v>
      </c>
      <c r="E410" s="13" t="s">
        <v>1084</v>
      </c>
      <c r="F410" s="13" t="s">
        <v>1085</v>
      </c>
      <c r="G410" s="11" t="s">
        <v>39</v>
      </c>
      <c r="H410" s="11">
        <f>IFERROR(VLOOKUP(G410,Paramètres!$B$6:$F$8,2,FALSE()),"")</f>
        <v>5</v>
      </c>
      <c r="I410" s="13" t="s">
        <v>168</v>
      </c>
      <c r="J410" s="11" t="s">
        <v>48</v>
      </c>
      <c r="K410" s="12">
        <v>46196</v>
      </c>
      <c r="L410" s="12">
        <v>46197</v>
      </c>
      <c r="M410" s="13" t="s">
        <v>56</v>
      </c>
      <c r="N410" s="14" t="s">
        <v>186</v>
      </c>
      <c r="O410" s="12"/>
      <c r="P410" s="11" t="str">
        <f t="shared" si="36"/>
        <v/>
      </c>
      <c r="Q410" s="11" t="str">
        <f t="shared" ca="1" si="37"/>
        <v>ROUGE</v>
      </c>
      <c r="R410" s="11">
        <f>IFERROR(VLOOKUP(G410,Paramètres!$B$6:$F$8,3,FALSE()),"")</f>
        <v>2</v>
      </c>
      <c r="S410" s="11" t="str">
        <f t="shared" ca="1" si="38"/>
        <v/>
      </c>
      <c r="T410" s="12"/>
      <c r="U410" s="11" t="str">
        <f t="shared" si="39"/>
        <v/>
      </c>
      <c r="V410" s="11" t="str">
        <f t="shared" si="40"/>
        <v/>
      </c>
      <c r="W410" s="11" t="str">
        <f t="shared" si="41"/>
        <v/>
      </c>
    </row>
    <row r="411" spans="1:23" ht="28.5">
      <c r="A411" s="11">
        <v>395</v>
      </c>
      <c r="B411" s="12">
        <v>46196</v>
      </c>
      <c r="C411" s="13" t="s">
        <v>1086</v>
      </c>
      <c r="D411" s="13" t="s">
        <v>81</v>
      </c>
      <c r="E411" s="13" t="s">
        <v>1087</v>
      </c>
      <c r="F411" s="13" t="s">
        <v>1088</v>
      </c>
      <c r="G411" s="11" t="s">
        <v>39</v>
      </c>
      <c r="H411" s="11">
        <f>IFERROR(VLOOKUP(G411,Paramètres!$B$6:$F$8,2,FALSE()),"")</f>
        <v>5</v>
      </c>
      <c r="I411" s="13" t="s">
        <v>240</v>
      </c>
      <c r="J411" s="11" t="s">
        <v>55</v>
      </c>
      <c r="K411" s="12">
        <v>46196</v>
      </c>
      <c r="L411" s="12">
        <v>46197</v>
      </c>
      <c r="M411" s="13" t="s">
        <v>75</v>
      </c>
      <c r="N411" s="14" t="s">
        <v>66</v>
      </c>
      <c r="O411" s="12">
        <v>46199</v>
      </c>
      <c r="P411" s="11">
        <f t="shared" si="36"/>
        <v>3</v>
      </c>
      <c r="Q411" s="11" t="str">
        <f t="shared" ca="1" si="37"/>
        <v>-</v>
      </c>
      <c r="R411" s="11">
        <f>IFERROR(VLOOKUP(G411,Paramètres!$B$6:$F$8,3,FALSE()),"")</f>
        <v>2</v>
      </c>
      <c r="S411" s="11" t="str">
        <f t="shared" ca="1" si="38"/>
        <v>-</v>
      </c>
      <c r="T411" s="12">
        <v>46204</v>
      </c>
      <c r="U411" s="11">
        <f t="shared" si="39"/>
        <v>5</v>
      </c>
      <c r="V411" s="11">
        <f t="shared" si="40"/>
        <v>1</v>
      </c>
      <c r="W411" s="11" t="str">
        <f t="shared" si="41"/>
        <v>Hors délais</v>
      </c>
    </row>
    <row r="412" spans="1:23">
      <c r="A412" s="11">
        <v>396</v>
      </c>
      <c r="B412" s="12">
        <v>46197</v>
      </c>
      <c r="C412" s="13" t="s">
        <v>1089</v>
      </c>
      <c r="D412" s="13" t="s">
        <v>345</v>
      </c>
      <c r="E412" s="13" t="s">
        <v>1090</v>
      </c>
      <c r="F412" s="13" t="s">
        <v>1091</v>
      </c>
      <c r="G412" s="11" t="s">
        <v>53</v>
      </c>
      <c r="H412" s="11" t="str">
        <f>IFERROR(VLOOKUP(G412,Paramètres!$B$6:$F$8,2,FALSE()),"")</f>
        <v>N/A</v>
      </c>
      <c r="I412" s="13" t="s">
        <v>94</v>
      </c>
      <c r="J412" s="11" t="s">
        <v>55</v>
      </c>
      <c r="K412" s="12">
        <v>46197</v>
      </c>
      <c r="L412" s="12">
        <v>46197</v>
      </c>
      <c r="M412" s="13" t="s">
        <v>86</v>
      </c>
      <c r="N412" s="14" t="s">
        <v>102</v>
      </c>
      <c r="O412" s="12"/>
      <c r="P412" s="11" t="str">
        <f t="shared" si="36"/>
        <v>-</v>
      </c>
      <c r="Q412" s="11" t="str">
        <f t="shared" ca="1" si="37"/>
        <v>-</v>
      </c>
      <c r="R412" s="11" t="str">
        <f>IFERROR(VLOOKUP(G412,Paramètres!$B$6:$F$8,3,FALSE()),"")</f>
        <v>N/A</v>
      </c>
      <c r="S412" s="11" t="str">
        <f t="shared" ca="1" si="38"/>
        <v>-</v>
      </c>
      <c r="T412" s="12"/>
      <c r="U412" s="11" t="str">
        <f t="shared" si="39"/>
        <v>-</v>
      </c>
      <c r="V412" s="11" t="str">
        <f t="shared" si="40"/>
        <v>-</v>
      </c>
      <c r="W412" s="11" t="str">
        <f t="shared" si="41"/>
        <v>Ne nécessite pas de réponse</v>
      </c>
    </row>
    <row r="413" spans="1:23">
      <c r="A413" s="11">
        <v>397</v>
      </c>
      <c r="B413" s="12">
        <v>46197</v>
      </c>
      <c r="C413" s="13" t="s">
        <v>1092</v>
      </c>
      <c r="D413" s="13" t="s">
        <v>178</v>
      </c>
      <c r="E413" s="13"/>
      <c r="F413" s="13" t="s">
        <v>1093</v>
      </c>
      <c r="G413" s="11" t="s">
        <v>39</v>
      </c>
      <c r="H413" s="11">
        <f>IFERROR(VLOOKUP(G413,Paramètres!$B$6:$F$8,2,FALSE()),"")</f>
        <v>5</v>
      </c>
      <c r="I413" s="13" t="s">
        <v>108</v>
      </c>
      <c r="J413" s="11" t="s">
        <v>55</v>
      </c>
      <c r="K413" s="12">
        <v>46198</v>
      </c>
      <c r="L413" s="12">
        <v>46198</v>
      </c>
      <c r="M413" s="13" t="s">
        <v>86</v>
      </c>
      <c r="N413" s="14" t="s">
        <v>57</v>
      </c>
      <c r="O413" s="12">
        <v>46206</v>
      </c>
      <c r="P413" s="11">
        <f t="shared" si="36"/>
        <v>9</v>
      </c>
      <c r="Q413" s="11" t="str">
        <f t="shared" ca="1" si="37"/>
        <v>-</v>
      </c>
      <c r="R413" s="11">
        <f>IFERROR(VLOOKUP(G413,Paramètres!$B$6:$F$8,3,FALSE()),"")</f>
        <v>2</v>
      </c>
      <c r="S413" s="11" t="str">
        <f t="shared" ca="1" si="38"/>
        <v>-</v>
      </c>
      <c r="T413" s="12">
        <v>46209</v>
      </c>
      <c r="U413" s="11">
        <f t="shared" si="39"/>
        <v>3</v>
      </c>
      <c r="V413" s="11">
        <f t="shared" si="40"/>
        <v>5</v>
      </c>
      <c r="W413" s="11" t="str">
        <f t="shared" si="41"/>
        <v>Hors délais</v>
      </c>
    </row>
    <row r="414" spans="1:23">
      <c r="A414" s="11">
        <v>398</v>
      </c>
      <c r="B414" s="12">
        <v>46197</v>
      </c>
      <c r="C414" s="13" t="s">
        <v>1094</v>
      </c>
      <c r="D414" s="13" t="s">
        <v>100</v>
      </c>
      <c r="E414" s="13"/>
      <c r="F414" s="13" t="s">
        <v>1095</v>
      </c>
      <c r="G414" s="11" t="s">
        <v>39</v>
      </c>
      <c r="H414" s="11">
        <f>IFERROR(VLOOKUP(G414,Paramètres!$B$6:$F$8,2,FALSE()),"")</f>
        <v>5</v>
      </c>
      <c r="I414" s="13" t="s">
        <v>54</v>
      </c>
      <c r="J414" s="11" t="s">
        <v>55</v>
      </c>
      <c r="K414" s="12">
        <v>46197</v>
      </c>
      <c r="L414" s="12">
        <v>46197</v>
      </c>
      <c r="M414" s="13" t="s">
        <v>86</v>
      </c>
      <c r="N414" s="14" t="s">
        <v>57</v>
      </c>
      <c r="O414" s="12">
        <v>46202</v>
      </c>
      <c r="P414" s="11">
        <f t="shared" si="36"/>
        <v>5</v>
      </c>
      <c r="Q414" s="11" t="str">
        <f t="shared" ca="1" si="37"/>
        <v>-</v>
      </c>
      <c r="R414" s="11">
        <f>IFERROR(VLOOKUP(G414,Paramètres!$B$6:$F$8,3,FALSE()),"")</f>
        <v>2</v>
      </c>
      <c r="S414" s="11" t="str">
        <f t="shared" ca="1" si="38"/>
        <v>-</v>
      </c>
      <c r="T414" s="12">
        <v>46204</v>
      </c>
      <c r="U414" s="11">
        <f t="shared" si="39"/>
        <v>2</v>
      </c>
      <c r="V414" s="11">
        <f t="shared" si="40"/>
        <v>0</v>
      </c>
      <c r="W414" s="11" t="str">
        <f t="shared" si="41"/>
        <v>Dans les délais</v>
      </c>
    </row>
    <row r="415" spans="1:23">
      <c r="A415" s="11">
        <v>399</v>
      </c>
      <c r="B415" s="12">
        <v>46197</v>
      </c>
      <c r="C415" s="13" t="s">
        <v>1096</v>
      </c>
      <c r="D415" s="13" t="s">
        <v>81</v>
      </c>
      <c r="E415" s="13" t="s">
        <v>1097</v>
      </c>
      <c r="F415" s="13" t="s">
        <v>1098</v>
      </c>
      <c r="G415" s="11" t="s">
        <v>39</v>
      </c>
      <c r="H415" s="11">
        <f>IFERROR(VLOOKUP(G415,Paramètres!$B$6:$F$8,2,FALSE()),"")</f>
        <v>5</v>
      </c>
      <c r="I415" s="13" t="s">
        <v>108</v>
      </c>
      <c r="J415" s="11" t="s">
        <v>55</v>
      </c>
      <c r="K415" s="12">
        <v>46198</v>
      </c>
      <c r="L415" s="12">
        <v>46198</v>
      </c>
      <c r="M415" s="13" t="s">
        <v>61</v>
      </c>
      <c r="N415" s="14" t="s">
        <v>102</v>
      </c>
      <c r="O415" s="12">
        <v>46204</v>
      </c>
      <c r="P415" s="11">
        <f t="shared" si="36"/>
        <v>7</v>
      </c>
      <c r="Q415" s="11" t="str">
        <f t="shared" ca="1" si="37"/>
        <v>-</v>
      </c>
      <c r="R415" s="11">
        <f>IFERROR(VLOOKUP(G415,Paramètres!$B$6:$F$8,3,FALSE()),"")</f>
        <v>2</v>
      </c>
      <c r="S415" s="11" t="str">
        <f t="shared" ca="1" si="38"/>
        <v>-</v>
      </c>
      <c r="T415" s="12">
        <v>46209</v>
      </c>
      <c r="U415" s="11">
        <f t="shared" si="39"/>
        <v>5</v>
      </c>
      <c r="V415" s="11">
        <f t="shared" si="40"/>
        <v>5</v>
      </c>
      <c r="W415" s="11" t="str">
        <f t="shared" si="41"/>
        <v>Hors délais</v>
      </c>
    </row>
    <row r="416" spans="1:23">
      <c r="A416" s="11">
        <v>400</v>
      </c>
      <c r="B416" s="12">
        <v>46198</v>
      </c>
      <c r="C416" s="13" t="s">
        <v>1099</v>
      </c>
      <c r="D416" s="13" t="s">
        <v>68</v>
      </c>
      <c r="E416" s="13" t="s">
        <v>1100</v>
      </c>
      <c r="F416" s="13" t="s">
        <v>1101</v>
      </c>
      <c r="G416" s="11" t="s">
        <v>84</v>
      </c>
      <c r="H416" s="11">
        <f>IFERROR(VLOOKUP(G416,Paramètres!$B$6:$F$8,2,FALSE()),"")</f>
        <v>5</v>
      </c>
      <c r="I416" s="13" t="s">
        <v>108</v>
      </c>
      <c r="J416" s="11" t="s">
        <v>55</v>
      </c>
      <c r="K416" s="12">
        <v>46199</v>
      </c>
      <c r="L416" s="12">
        <v>46202</v>
      </c>
      <c r="M416" s="13" t="s">
        <v>56</v>
      </c>
      <c r="N416" s="14" t="s">
        <v>66</v>
      </c>
      <c r="O416" s="12">
        <v>46205</v>
      </c>
      <c r="P416" s="11">
        <f t="shared" si="36"/>
        <v>7</v>
      </c>
      <c r="Q416" s="11" t="str">
        <f t="shared" ca="1" si="37"/>
        <v>-</v>
      </c>
      <c r="R416" s="11">
        <f>IFERROR(VLOOKUP(G416,Paramètres!$B$6:$F$8,3,FALSE()),"")</f>
        <v>2</v>
      </c>
      <c r="S416" s="11" t="str">
        <f t="shared" ca="1" si="38"/>
        <v>-</v>
      </c>
      <c r="T416" s="12">
        <v>46206</v>
      </c>
      <c r="U416" s="11">
        <f t="shared" si="39"/>
        <v>1</v>
      </c>
      <c r="V416" s="11">
        <f t="shared" si="40"/>
        <v>1</v>
      </c>
      <c r="W416" s="11" t="str">
        <f t="shared" si="41"/>
        <v>Hors délais</v>
      </c>
    </row>
    <row r="417" spans="1:23">
      <c r="A417" s="11">
        <v>401</v>
      </c>
      <c r="B417" s="12">
        <v>46198</v>
      </c>
      <c r="C417" s="13" t="s">
        <v>1102</v>
      </c>
      <c r="D417" s="13" t="s">
        <v>230</v>
      </c>
      <c r="E417" s="13"/>
      <c r="F417" s="13" t="s">
        <v>1103</v>
      </c>
      <c r="G417" s="11" t="s">
        <v>39</v>
      </c>
      <c r="H417" s="11">
        <f>IFERROR(VLOOKUP(G417,Paramètres!$B$6:$F$8,2,FALSE()),"")</f>
        <v>5</v>
      </c>
      <c r="I417" s="13" t="s">
        <v>155</v>
      </c>
      <c r="J417" s="11" t="s">
        <v>48</v>
      </c>
      <c r="K417" s="12">
        <v>46199</v>
      </c>
      <c r="L417" s="12">
        <v>46199</v>
      </c>
      <c r="M417" s="13" t="s">
        <v>56</v>
      </c>
      <c r="N417" s="14" t="s">
        <v>121</v>
      </c>
      <c r="O417" s="12">
        <v>46205</v>
      </c>
      <c r="P417" s="11">
        <f t="shared" si="36"/>
        <v>7</v>
      </c>
      <c r="Q417" s="11" t="str">
        <f t="shared" ca="1" si="37"/>
        <v>-</v>
      </c>
      <c r="R417" s="11">
        <f>IFERROR(VLOOKUP(G417,Paramètres!$B$6:$F$8,3,FALSE()),"")</f>
        <v>2</v>
      </c>
      <c r="S417" s="11" t="str">
        <f t="shared" ca="1" si="38"/>
        <v>-</v>
      </c>
      <c r="T417" s="12">
        <v>46206</v>
      </c>
      <c r="U417" s="11">
        <f t="shared" si="39"/>
        <v>1</v>
      </c>
      <c r="V417" s="11">
        <f t="shared" si="40"/>
        <v>1</v>
      </c>
      <c r="W417" s="11" t="str">
        <f t="shared" si="41"/>
        <v>Hors délais</v>
      </c>
    </row>
    <row r="418" spans="1:23">
      <c r="A418" s="11">
        <v>402</v>
      </c>
      <c r="B418" s="12">
        <v>46198</v>
      </c>
      <c r="C418" s="13" t="s">
        <v>1104</v>
      </c>
      <c r="D418" s="13" t="s">
        <v>137</v>
      </c>
      <c r="E418" s="13" t="s">
        <v>1105</v>
      </c>
      <c r="F418" s="13" t="s">
        <v>1106</v>
      </c>
      <c r="G418" s="11" t="s">
        <v>39</v>
      </c>
      <c r="H418" s="11">
        <f>IFERROR(VLOOKUP(G418,Paramètres!$B$6:$F$8,2,FALSE()),"")</f>
        <v>5</v>
      </c>
      <c r="I418" s="13" t="s">
        <v>65</v>
      </c>
      <c r="J418" s="11" t="s">
        <v>55</v>
      </c>
      <c r="K418" s="12">
        <v>46199</v>
      </c>
      <c r="L418" s="12">
        <v>46199</v>
      </c>
      <c r="M418" s="13" t="s">
        <v>61</v>
      </c>
      <c r="N418" s="14" t="s">
        <v>66</v>
      </c>
      <c r="O418" s="12">
        <v>46204</v>
      </c>
      <c r="P418" s="11">
        <f t="shared" si="36"/>
        <v>6</v>
      </c>
      <c r="Q418" s="11" t="str">
        <f t="shared" ca="1" si="37"/>
        <v>-</v>
      </c>
      <c r="R418" s="11">
        <f>IFERROR(VLOOKUP(G418,Paramètres!$B$6:$F$8,3,FALSE()),"")</f>
        <v>2</v>
      </c>
      <c r="S418" s="11" t="str">
        <f t="shared" ca="1" si="38"/>
        <v>-</v>
      </c>
      <c r="T418" s="12">
        <v>46205</v>
      </c>
      <c r="U418" s="11">
        <f t="shared" si="39"/>
        <v>1</v>
      </c>
      <c r="V418" s="11">
        <f t="shared" si="40"/>
        <v>0</v>
      </c>
      <c r="W418" s="11" t="str">
        <f t="shared" si="41"/>
        <v>Dans les délais</v>
      </c>
    </row>
    <row r="419" spans="1:23">
      <c r="A419" s="11">
        <v>403</v>
      </c>
      <c r="B419" s="12">
        <v>46198</v>
      </c>
      <c r="C419" s="13" t="s">
        <v>1107</v>
      </c>
      <c r="D419" s="13" t="s">
        <v>104</v>
      </c>
      <c r="E419" s="13" t="s">
        <v>1108</v>
      </c>
      <c r="F419" s="13" t="s">
        <v>1109</v>
      </c>
      <c r="G419" s="11" t="s">
        <v>39</v>
      </c>
      <c r="H419" s="11">
        <f>IFERROR(VLOOKUP(G419,Paramètres!$B$6:$F$8,2,FALSE()),"")</f>
        <v>5</v>
      </c>
      <c r="I419" s="13" t="s">
        <v>98</v>
      </c>
      <c r="J419" s="11" t="s">
        <v>41</v>
      </c>
      <c r="K419" s="12">
        <v>46198</v>
      </c>
      <c r="L419" s="12">
        <v>46198</v>
      </c>
      <c r="M419" s="13" t="s">
        <v>61</v>
      </c>
      <c r="N419" s="14" t="s">
        <v>87</v>
      </c>
      <c r="O419" s="12">
        <v>46206</v>
      </c>
      <c r="P419" s="11">
        <f t="shared" si="36"/>
        <v>8</v>
      </c>
      <c r="Q419" s="11" t="str">
        <f t="shared" ca="1" si="37"/>
        <v>-</v>
      </c>
      <c r="R419" s="11">
        <f>IFERROR(VLOOKUP(G419,Paramètres!$B$6:$F$8,3,FALSE()),"")</f>
        <v>2</v>
      </c>
      <c r="S419" s="11" t="str">
        <f t="shared" ca="1" si="38"/>
        <v>-</v>
      </c>
      <c r="T419" s="12">
        <v>46211</v>
      </c>
      <c r="U419" s="11">
        <f t="shared" si="39"/>
        <v>5</v>
      </c>
      <c r="V419" s="11">
        <f t="shared" si="40"/>
        <v>6</v>
      </c>
      <c r="W419" s="11" t="str">
        <f t="shared" si="41"/>
        <v>Hors délais</v>
      </c>
    </row>
    <row r="420" spans="1:23">
      <c r="A420" s="11">
        <v>404</v>
      </c>
      <c r="B420" s="12">
        <v>46198</v>
      </c>
      <c r="C420" s="13" t="s">
        <v>1110</v>
      </c>
      <c r="D420" s="13" t="s">
        <v>118</v>
      </c>
      <c r="E420" s="13"/>
      <c r="F420" s="13" t="s">
        <v>1111</v>
      </c>
      <c r="G420" s="11" t="s">
        <v>39</v>
      </c>
      <c r="H420" s="11">
        <f>IFERROR(VLOOKUP(G420,Paramètres!$B$6:$F$8,2,FALSE()),"")</f>
        <v>5</v>
      </c>
      <c r="I420" s="13" t="s">
        <v>120</v>
      </c>
      <c r="J420" s="11" t="s">
        <v>48</v>
      </c>
      <c r="K420" s="12">
        <v>46199</v>
      </c>
      <c r="L420" s="12">
        <v>46199</v>
      </c>
      <c r="M420" s="13"/>
      <c r="N420" s="14" t="s">
        <v>50</v>
      </c>
      <c r="O420" s="12">
        <v>46205</v>
      </c>
      <c r="P420" s="11">
        <f t="shared" si="36"/>
        <v>7</v>
      </c>
      <c r="Q420" s="11" t="str">
        <f t="shared" ca="1" si="37"/>
        <v>-</v>
      </c>
      <c r="R420" s="11">
        <f>IFERROR(VLOOKUP(G420,Paramètres!$B$6:$F$8,3,FALSE()),"")</f>
        <v>2</v>
      </c>
      <c r="S420" s="11" t="str">
        <f t="shared" ca="1" si="38"/>
        <v>-</v>
      </c>
      <c r="T420" s="12">
        <v>46209</v>
      </c>
      <c r="U420" s="11">
        <f t="shared" si="39"/>
        <v>4</v>
      </c>
      <c r="V420" s="11">
        <f t="shared" si="40"/>
        <v>4</v>
      </c>
      <c r="W420" s="11" t="str">
        <f t="shared" si="41"/>
        <v>Hors délais</v>
      </c>
    </row>
    <row r="421" spans="1:23">
      <c r="A421" s="11">
        <v>405</v>
      </c>
      <c r="B421" s="12">
        <v>46198</v>
      </c>
      <c r="C421" s="13" t="s">
        <v>1112</v>
      </c>
      <c r="D421" s="13" t="s">
        <v>123</v>
      </c>
      <c r="E421" s="13" t="s">
        <v>1113</v>
      </c>
      <c r="F421" s="13" t="s">
        <v>1114</v>
      </c>
      <c r="G421" s="11" t="s">
        <v>39</v>
      </c>
      <c r="H421" s="11">
        <f>IFERROR(VLOOKUP(G421,Paramètres!$B$6:$F$8,2,FALSE()),"")</f>
        <v>5</v>
      </c>
      <c r="I421" s="13" t="s">
        <v>65</v>
      </c>
      <c r="J421" s="11" t="s">
        <v>55</v>
      </c>
      <c r="K421" s="12">
        <v>46199</v>
      </c>
      <c r="L421" s="12">
        <v>46199</v>
      </c>
      <c r="M421" s="13" t="s">
        <v>49</v>
      </c>
      <c r="N421" s="14" t="s">
        <v>66</v>
      </c>
      <c r="O421" s="12">
        <v>46203</v>
      </c>
      <c r="P421" s="11">
        <f t="shared" si="36"/>
        <v>5</v>
      </c>
      <c r="Q421" s="11" t="str">
        <f t="shared" ca="1" si="37"/>
        <v>-</v>
      </c>
      <c r="R421" s="11">
        <f>IFERROR(VLOOKUP(G421,Paramètres!$B$6:$F$8,3,FALSE()),"")</f>
        <v>2</v>
      </c>
      <c r="S421" s="11" t="str">
        <f t="shared" ca="1" si="38"/>
        <v>-</v>
      </c>
      <c r="T421" s="12">
        <v>46205</v>
      </c>
      <c r="U421" s="11">
        <f t="shared" si="39"/>
        <v>2</v>
      </c>
      <c r="V421" s="11">
        <f t="shared" si="40"/>
        <v>0</v>
      </c>
      <c r="W421" s="11" t="str">
        <f t="shared" si="41"/>
        <v>Dans les délais</v>
      </c>
    </row>
    <row r="422" spans="1:23">
      <c r="A422" s="11">
        <v>406</v>
      </c>
      <c r="B422" s="12">
        <v>46199</v>
      </c>
      <c r="C422" s="13" t="s">
        <v>1115</v>
      </c>
      <c r="D422" s="13" t="s">
        <v>145</v>
      </c>
      <c r="E422" s="13"/>
      <c r="F422" s="13" t="s">
        <v>1116</v>
      </c>
      <c r="G422" s="11" t="s">
        <v>39</v>
      </c>
      <c r="H422" s="11">
        <f>IFERROR(VLOOKUP(G422,Paramètres!$B$6:$F$8,2,FALSE()),"")</f>
        <v>5</v>
      </c>
      <c r="I422" s="13" t="s">
        <v>228</v>
      </c>
      <c r="J422" s="11" t="s">
        <v>55</v>
      </c>
      <c r="K422" s="12">
        <v>46199</v>
      </c>
      <c r="L422" s="12">
        <v>46202</v>
      </c>
      <c r="M422" s="13" t="s">
        <v>61</v>
      </c>
      <c r="N422" s="14" t="s">
        <v>57</v>
      </c>
      <c r="O422" s="12">
        <v>46203</v>
      </c>
      <c r="P422" s="11">
        <f t="shared" si="36"/>
        <v>4</v>
      </c>
      <c r="Q422" s="11" t="str">
        <f t="shared" ca="1" si="37"/>
        <v>-</v>
      </c>
      <c r="R422" s="11">
        <f>IFERROR(VLOOKUP(G422,Paramètres!$B$6:$F$8,3,FALSE()),"")</f>
        <v>2</v>
      </c>
      <c r="S422" s="11" t="str">
        <f t="shared" ca="1" si="38"/>
        <v>-</v>
      </c>
      <c r="T422" s="12">
        <v>46204</v>
      </c>
      <c r="U422" s="11">
        <f t="shared" si="39"/>
        <v>1</v>
      </c>
      <c r="V422" s="11">
        <f t="shared" si="40"/>
        <v>-2</v>
      </c>
      <c r="W422" s="11" t="str">
        <f t="shared" si="41"/>
        <v>Dans les délais</v>
      </c>
    </row>
    <row r="423" spans="1:23">
      <c r="A423" s="11">
        <v>407</v>
      </c>
      <c r="B423" s="12">
        <v>46199</v>
      </c>
      <c r="C423" s="13" t="s">
        <v>1117</v>
      </c>
      <c r="D423" s="13" t="s">
        <v>37</v>
      </c>
      <c r="E423" s="13"/>
      <c r="F423" s="13" t="s">
        <v>1118</v>
      </c>
      <c r="G423" s="11" t="s">
        <v>84</v>
      </c>
      <c r="H423" s="11">
        <f>IFERROR(VLOOKUP(G423,Paramètres!$B$6:$F$8,2,FALSE()),"")</f>
        <v>5</v>
      </c>
      <c r="I423" s="13" t="s">
        <v>185</v>
      </c>
      <c r="J423" s="11" t="s">
        <v>48</v>
      </c>
      <c r="K423" s="12">
        <v>46199</v>
      </c>
      <c r="L423" s="12">
        <v>46199</v>
      </c>
      <c r="M423" s="13" t="s">
        <v>56</v>
      </c>
      <c r="N423" s="14" t="s">
        <v>121</v>
      </c>
      <c r="O423" s="12">
        <v>46204</v>
      </c>
      <c r="P423" s="11">
        <f t="shared" si="36"/>
        <v>5</v>
      </c>
      <c r="Q423" s="11" t="str">
        <f t="shared" ca="1" si="37"/>
        <v>-</v>
      </c>
      <c r="R423" s="11">
        <f>IFERROR(VLOOKUP(G423,Paramètres!$B$6:$F$8,3,FALSE()),"")</f>
        <v>2</v>
      </c>
      <c r="S423" s="11" t="str">
        <f t="shared" ca="1" si="38"/>
        <v>-</v>
      </c>
      <c r="T423" s="12">
        <v>46205</v>
      </c>
      <c r="U423" s="11">
        <f t="shared" si="39"/>
        <v>1</v>
      </c>
      <c r="V423" s="11">
        <f t="shared" si="40"/>
        <v>-1</v>
      </c>
      <c r="W423" s="11" t="str">
        <f t="shared" si="41"/>
        <v>Dans les délais</v>
      </c>
    </row>
    <row r="424" spans="1:23">
      <c r="A424" s="11">
        <v>408</v>
      </c>
      <c r="B424" s="12">
        <v>46199</v>
      </c>
      <c r="C424" s="13" t="s">
        <v>1119</v>
      </c>
      <c r="D424" s="13" t="s">
        <v>100</v>
      </c>
      <c r="E424" s="13"/>
      <c r="F424" s="13" t="s">
        <v>1120</v>
      </c>
      <c r="G424" s="11" t="s">
        <v>39</v>
      </c>
      <c r="H424" s="11">
        <f>IFERROR(VLOOKUP(G424,Paramètres!$B$6:$F$8,2,FALSE()),"")</f>
        <v>5</v>
      </c>
      <c r="I424" s="13" t="s">
        <v>91</v>
      </c>
      <c r="J424" s="11" t="s">
        <v>41</v>
      </c>
      <c r="K424" s="12">
        <v>46199</v>
      </c>
      <c r="L424" s="12">
        <v>46202</v>
      </c>
      <c r="M424" s="13" t="s">
        <v>86</v>
      </c>
      <c r="N424" s="14" t="s">
        <v>76</v>
      </c>
      <c r="O424" s="12">
        <v>46206</v>
      </c>
      <c r="P424" s="11">
        <f t="shared" si="36"/>
        <v>7</v>
      </c>
      <c r="Q424" s="11" t="str">
        <f t="shared" ca="1" si="37"/>
        <v>-</v>
      </c>
      <c r="R424" s="11">
        <f>IFERROR(VLOOKUP(G424,Paramètres!$B$6:$F$8,3,FALSE()),"")</f>
        <v>2</v>
      </c>
      <c r="S424" s="11" t="str">
        <f t="shared" ca="1" si="38"/>
        <v>-</v>
      </c>
      <c r="T424" s="12">
        <v>46209</v>
      </c>
      <c r="U424" s="11">
        <f t="shared" si="39"/>
        <v>3</v>
      </c>
      <c r="V424" s="11">
        <f t="shared" si="40"/>
        <v>3</v>
      </c>
      <c r="W424" s="11" t="str">
        <f t="shared" si="41"/>
        <v>Hors délais</v>
      </c>
    </row>
    <row r="425" spans="1:23">
      <c r="A425" s="11">
        <v>409</v>
      </c>
      <c r="B425" s="12">
        <v>46199</v>
      </c>
      <c r="C425" s="13" t="s">
        <v>1121</v>
      </c>
      <c r="D425" s="13" t="s">
        <v>45</v>
      </c>
      <c r="E425" s="13"/>
      <c r="F425" s="13" t="s">
        <v>1122</v>
      </c>
      <c r="G425" s="11" t="s">
        <v>39</v>
      </c>
      <c r="H425" s="11">
        <f>IFERROR(VLOOKUP(G425,Paramètres!$B$6:$F$8,2,FALSE()),"")</f>
        <v>5</v>
      </c>
      <c r="I425" s="13" t="s">
        <v>108</v>
      </c>
      <c r="J425" s="11" t="s">
        <v>55</v>
      </c>
      <c r="K425" s="12">
        <v>46202</v>
      </c>
      <c r="L425" s="12">
        <v>46203</v>
      </c>
      <c r="M425" s="13"/>
      <c r="N425" s="14" t="s">
        <v>57</v>
      </c>
      <c r="O425" s="12">
        <v>46204</v>
      </c>
      <c r="P425" s="11">
        <f t="shared" si="36"/>
        <v>5</v>
      </c>
      <c r="Q425" s="11" t="str">
        <f t="shared" ca="1" si="37"/>
        <v>-</v>
      </c>
      <c r="R425" s="11">
        <f>IFERROR(VLOOKUP(G425,Paramètres!$B$6:$F$8,3,FALSE()),"")</f>
        <v>2</v>
      </c>
      <c r="S425" s="11" t="str">
        <f t="shared" ca="1" si="38"/>
        <v>-</v>
      </c>
      <c r="T425" s="12">
        <v>46205</v>
      </c>
      <c r="U425" s="11">
        <f t="shared" si="39"/>
        <v>1</v>
      </c>
      <c r="V425" s="11">
        <f t="shared" si="40"/>
        <v>-1</v>
      </c>
      <c r="W425" s="11" t="str">
        <f t="shared" si="41"/>
        <v>Dans les délais</v>
      </c>
    </row>
    <row r="426" spans="1:23">
      <c r="A426" s="11">
        <v>410</v>
      </c>
      <c r="B426" s="12">
        <v>46199</v>
      </c>
      <c r="C426" s="13" t="s">
        <v>1123</v>
      </c>
      <c r="D426" s="13" t="s">
        <v>123</v>
      </c>
      <c r="E426" s="13"/>
      <c r="F426" s="13" t="s">
        <v>1124</v>
      </c>
      <c r="G426" s="11" t="s">
        <v>39</v>
      </c>
      <c r="H426" s="11">
        <f>IFERROR(VLOOKUP(G426,Paramètres!$B$6:$F$8,2,FALSE()),"")</f>
        <v>5</v>
      </c>
      <c r="I426" s="13" t="s">
        <v>71</v>
      </c>
      <c r="J426" s="11" t="s">
        <v>41</v>
      </c>
      <c r="K426" s="12">
        <v>46202</v>
      </c>
      <c r="L426" s="12">
        <v>46202</v>
      </c>
      <c r="M426" s="13" t="s">
        <v>42</v>
      </c>
      <c r="N426" s="14" t="s">
        <v>43</v>
      </c>
      <c r="O426" s="12">
        <v>46209</v>
      </c>
      <c r="P426" s="11">
        <f t="shared" si="36"/>
        <v>10</v>
      </c>
      <c r="Q426" s="11" t="str">
        <f t="shared" ca="1" si="37"/>
        <v>-</v>
      </c>
      <c r="R426" s="11">
        <f>IFERROR(VLOOKUP(G426,Paramètres!$B$6:$F$8,3,FALSE()),"")</f>
        <v>2</v>
      </c>
      <c r="S426" s="11" t="str">
        <f t="shared" ca="1" si="38"/>
        <v>-</v>
      </c>
      <c r="T426" s="12">
        <v>46216</v>
      </c>
      <c r="U426" s="11">
        <f t="shared" si="39"/>
        <v>7</v>
      </c>
      <c r="V426" s="11">
        <f t="shared" si="40"/>
        <v>10</v>
      </c>
      <c r="W426" s="11" t="str">
        <f t="shared" si="41"/>
        <v>Hors délais</v>
      </c>
    </row>
    <row r="427" spans="1:23">
      <c r="A427" s="11">
        <v>411</v>
      </c>
      <c r="B427" s="12">
        <v>46199</v>
      </c>
      <c r="C427" s="13" t="s">
        <v>1125</v>
      </c>
      <c r="D427" s="13" t="s">
        <v>137</v>
      </c>
      <c r="E427" s="13" t="s">
        <v>1126</v>
      </c>
      <c r="F427" s="13" t="s">
        <v>1127</v>
      </c>
      <c r="G427" s="11" t="s">
        <v>39</v>
      </c>
      <c r="H427" s="11">
        <f>IFERROR(VLOOKUP(G427,Paramètres!$B$6:$F$8,2,FALSE()),"")</f>
        <v>5</v>
      </c>
      <c r="I427" s="13" t="s">
        <v>91</v>
      </c>
      <c r="J427" s="11" t="s">
        <v>41</v>
      </c>
      <c r="K427" s="12">
        <v>46199</v>
      </c>
      <c r="L427" s="12">
        <v>46202</v>
      </c>
      <c r="M427" s="13" t="s">
        <v>56</v>
      </c>
      <c r="N427" s="14" t="s">
        <v>76</v>
      </c>
      <c r="O427" s="12">
        <v>46210</v>
      </c>
      <c r="P427" s="11">
        <f t="shared" si="36"/>
        <v>11</v>
      </c>
      <c r="Q427" s="11" t="str">
        <f t="shared" ca="1" si="37"/>
        <v>-</v>
      </c>
      <c r="R427" s="11">
        <f>IFERROR(VLOOKUP(G427,Paramètres!$B$6:$F$8,3,FALSE()),"")</f>
        <v>2</v>
      </c>
      <c r="S427" s="11" t="str">
        <f t="shared" ca="1" si="38"/>
        <v>-</v>
      </c>
      <c r="T427" s="12">
        <v>46217</v>
      </c>
      <c r="U427" s="11">
        <f t="shared" si="39"/>
        <v>7</v>
      </c>
      <c r="V427" s="11">
        <f t="shared" si="40"/>
        <v>11</v>
      </c>
      <c r="W427" s="11" t="str">
        <f t="shared" si="41"/>
        <v>Hors délais</v>
      </c>
    </row>
    <row r="428" spans="1:23">
      <c r="A428" s="11">
        <v>412</v>
      </c>
      <c r="B428" s="12">
        <v>46202</v>
      </c>
      <c r="C428" s="13" t="s">
        <v>1128</v>
      </c>
      <c r="D428" s="13" t="s">
        <v>45</v>
      </c>
      <c r="E428" s="13" t="s">
        <v>1129</v>
      </c>
      <c r="F428" s="13" t="s">
        <v>1130</v>
      </c>
      <c r="G428" s="11" t="s">
        <v>84</v>
      </c>
      <c r="H428" s="11">
        <f>IFERROR(VLOOKUP(G428,Paramètres!$B$6:$F$8,2,FALSE()),"")</f>
        <v>5</v>
      </c>
      <c r="I428" s="13" t="s">
        <v>168</v>
      </c>
      <c r="J428" s="11" t="s">
        <v>48</v>
      </c>
      <c r="K428" s="12">
        <v>46202</v>
      </c>
      <c r="L428" s="12">
        <v>46202</v>
      </c>
      <c r="M428" s="13" t="s">
        <v>86</v>
      </c>
      <c r="N428" s="14" t="s">
        <v>186</v>
      </c>
      <c r="O428" s="12">
        <v>46206</v>
      </c>
      <c r="P428" s="11">
        <f t="shared" si="36"/>
        <v>4</v>
      </c>
      <c r="Q428" s="11" t="str">
        <f t="shared" ca="1" si="37"/>
        <v>-</v>
      </c>
      <c r="R428" s="11">
        <f>IFERROR(VLOOKUP(G428,Paramètres!$B$6:$F$8,3,FALSE()),"")</f>
        <v>2</v>
      </c>
      <c r="S428" s="11" t="str">
        <f t="shared" ca="1" si="38"/>
        <v>-</v>
      </c>
      <c r="T428" s="12">
        <v>46206</v>
      </c>
      <c r="U428" s="11">
        <f t="shared" si="39"/>
        <v>0</v>
      </c>
      <c r="V428" s="11">
        <f t="shared" si="40"/>
        <v>-3</v>
      </c>
      <c r="W428" s="11" t="str">
        <f t="shared" si="41"/>
        <v>Dans les délais</v>
      </c>
    </row>
    <row r="429" spans="1:23">
      <c r="A429" s="11">
        <v>413</v>
      </c>
      <c r="B429" s="12">
        <v>46202</v>
      </c>
      <c r="C429" s="13" t="s">
        <v>1131</v>
      </c>
      <c r="D429" s="13" t="s">
        <v>45</v>
      </c>
      <c r="E429" s="13" t="s">
        <v>1132</v>
      </c>
      <c r="F429" s="13" t="s">
        <v>1133</v>
      </c>
      <c r="G429" s="11" t="s">
        <v>39</v>
      </c>
      <c r="H429" s="11">
        <f>IFERROR(VLOOKUP(G429,Paramètres!$B$6:$F$8,2,FALSE()),"")</f>
        <v>5</v>
      </c>
      <c r="I429" s="13" t="s">
        <v>94</v>
      </c>
      <c r="J429" s="11" t="s">
        <v>55</v>
      </c>
      <c r="K429" s="12">
        <v>46202</v>
      </c>
      <c r="L429" s="12">
        <v>46203</v>
      </c>
      <c r="M429" s="13"/>
      <c r="N429" s="14" t="s">
        <v>57</v>
      </c>
      <c r="O429" s="12">
        <v>46210</v>
      </c>
      <c r="P429" s="11">
        <f t="shared" si="36"/>
        <v>8</v>
      </c>
      <c r="Q429" s="11" t="str">
        <f t="shared" ca="1" si="37"/>
        <v>-</v>
      </c>
      <c r="R429" s="11">
        <f>IFERROR(VLOOKUP(G429,Paramètres!$B$6:$F$8,3,FALSE()),"")</f>
        <v>2</v>
      </c>
      <c r="S429" s="11" t="str">
        <f t="shared" ca="1" si="38"/>
        <v>-</v>
      </c>
      <c r="T429" s="12">
        <v>46212</v>
      </c>
      <c r="U429" s="11">
        <f t="shared" si="39"/>
        <v>2</v>
      </c>
      <c r="V429" s="11">
        <f t="shared" si="40"/>
        <v>3</v>
      </c>
      <c r="W429" s="11" t="str">
        <f t="shared" si="41"/>
        <v>Hors délais</v>
      </c>
    </row>
    <row r="430" spans="1:23">
      <c r="A430" s="11">
        <v>414</v>
      </c>
      <c r="B430" s="12">
        <v>46202</v>
      </c>
      <c r="C430" s="13" t="s">
        <v>1134</v>
      </c>
      <c r="D430" s="13" t="s">
        <v>68</v>
      </c>
      <c r="E430" s="13"/>
      <c r="F430" s="13" t="s">
        <v>1135</v>
      </c>
      <c r="G430" s="11" t="s">
        <v>39</v>
      </c>
      <c r="H430" s="11">
        <f>IFERROR(VLOOKUP(G430,Paramètres!$B$6:$F$8,2,FALSE()),"")</f>
        <v>5</v>
      </c>
      <c r="I430" s="13" t="s">
        <v>155</v>
      </c>
      <c r="J430" s="11" t="s">
        <v>48</v>
      </c>
      <c r="K430" s="12">
        <v>46202</v>
      </c>
      <c r="L430" s="12">
        <v>46202</v>
      </c>
      <c r="M430" s="13" t="s">
        <v>56</v>
      </c>
      <c r="N430" s="14" t="s">
        <v>186</v>
      </c>
      <c r="O430" s="12"/>
      <c r="P430" s="11" t="str">
        <f t="shared" si="36"/>
        <v/>
      </c>
      <c r="Q430" s="11" t="str">
        <f t="shared" ca="1" si="37"/>
        <v>ROUGE</v>
      </c>
      <c r="R430" s="11">
        <f>IFERROR(VLOOKUP(G430,Paramètres!$B$6:$F$8,3,FALSE()),"")</f>
        <v>2</v>
      </c>
      <c r="S430" s="11" t="str">
        <f t="shared" ca="1" si="38"/>
        <v/>
      </c>
      <c r="T430" s="12"/>
      <c r="U430" s="11" t="str">
        <f t="shared" si="39"/>
        <v/>
      </c>
      <c r="V430" s="11" t="str">
        <f t="shared" si="40"/>
        <v/>
      </c>
      <c r="W430" s="11" t="str">
        <f t="shared" si="41"/>
        <v/>
      </c>
    </row>
    <row r="431" spans="1:23">
      <c r="A431" s="11">
        <v>415</v>
      </c>
      <c r="B431" s="12">
        <v>46202</v>
      </c>
      <c r="C431" s="13" t="s">
        <v>1136</v>
      </c>
      <c r="D431" s="13" t="s">
        <v>118</v>
      </c>
      <c r="E431" s="13"/>
      <c r="F431" s="13" t="s">
        <v>1137</v>
      </c>
      <c r="G431" s="11" t="s">
        <v>39</v>
      </c>
      <c r="H431" s="11">
        <f>IFERROR(VLOOKUP(G431,Paramètres!$B$6:$F$8,2,FALSE()),"")</f>
        <v>5</v>
      </c>
      <c r="I431" s="13" t="s">
        <v>240</v>
      </c>
      <c r="J431" s="11" t="s">
        <v>55</v>
      </c>
      <c r="K431" s="12">
        <v>46203</v>
      </c>
      <c r="L431" s="12">
        <v>46204</v>
      </c>
      <c r="M431" s="13"/>
      <c r="N431" s="14" t="s">
        <v>57</v>
      </c>
      <c r="O431" s="12">
        <v>46213</v>
      </c>
      <c r="P431" s="11">
        <f t="shared" si="36"/>
        <v>11</v>
      </c>
      <c r="Q431" s="11" t="str">
        <f t="shared" ca="1" si="37"/>
        <v>-</v>
      </c>
      <c r="R431" s="11">
        <f>IFERROR(VLOOKUP(G431,Paramètres!$B$6:$F$8,3,FALSE()),"")</f>
        <v>2</v>
      </c>
      <c r="S431" s="11" t="str">
        <f t="shared" ca="1" si="38"/>
        <v>-</v>
      </c>
      <c r="T431" s="12">
        <v>46218</v>
      </c>
      <c r="U431" s="11">
        <f t="shared" si="39"/>
        <v>5</v>
      </c>
      <c r="V431" s="11">
        <f t="shared" si="40"/>
        <v>9</v>
      </c>
      <c r="W431" s="11" t="str">
        <f t="shared" si="41"/>
        <v>Hors délais</v>
      </c>
    </row>
    <row r="432" spans="1:23">
      <c r="A432" s="11">
        <v>416</v>
      </c>
      <c r="B432" s="12">
        <v>46202</v>
      </c>
      <c r="C432" s="13" t="s">
        <v>1138</v>
      </c>
      <c r="D432" s="13" t="s">
        <v>63</v>
      </c>
      <c r="E432" s="13"/>
      <c r="F432" s="13" t="s">
        <v>1139</v>
      </c>
      <c r="G432" s="11" t="s">
        <v>39</v>
      </c>
      <c r="H432" s="11">
        <f>IFERROR(VLOOKUP(G432,Paramètres!$B$6:$F$8,2,FALSE()),"")</f>
        <v>5</v>
      </c>
      <c r="I432" s="13" t="s">
        <v>120</v>
      </c>
      <c r="J432" s="11" t="s">
        <v>48</v>
      </c>
      <c r="K432" s="12">
        <v>46202</v>
      </c>
      <c r="L432" s="12">
        <v>46202</v>
      </c>
      <c r="M432" s="13" t="s">
        <v>61</v>
      </c>
      <c r="N432" s="14" t="s">
        <v>186</v>
      </c>
      <c r="O432" s="12">
        <v>46218</v>
      </c>
      <c r="P432" s="11">
        <f t="shared" si="36"/>
        <v>16</v>
      </c>
      <c r="Q432" s="11" t="str">
        <f t="shared" ca="1" si="37"/>
        <v>-</v>
      </c>
      <c r="R432" s="11">
        <f>IFERROR(VLOOKUP(G432,Paramètres!$B$6:$F$8,3,FALSE()),"")</f>
        <v>2</v>
      </c>
      <c r="S432" s="11" t="str">
        <f t="shared" ca="1" si="38"/>
        <v>-</v>
      </c>
      <c r="T432" s="12">
        <v>46219</v>
      </c>
      <c r="U432" s="11">
        <f t="shared" si="39"/>
        <v>1</v>
      </c>
      <c r="V432" s="11">
        <f t="shared" si="40"/>
        <v>10</v>
      </c>
      <c r="W432" s="11" t="str">
        <f t="shared" si="41"/>
        <v>Hors délais</v>
      </c>
    </row>
    <row r="433" spans="1:23">
      <c r="A433" s="11">
        <v>417</v>
      </c>
      <c r="B433" s="12">
        <v>46203</v>
      </c>
      <c r="C433" s="13" t="s">
        <v>1140</v>
      </c>
      <c r="D433" s="13" t="s">
        <v>68</v>
      </c>
      <c r="E433" s="13" t="s">
        <v>1141</v>
      </c>
      <c r="F433" s="13" t="s">
        <v>1142</v>
      </c>
      <c r="G433" s="11" t="s">
        <v>39</v>
      </c>
      <c r="H433" s="11">
        <f>IFERROR(VLOOKUP(G433,Paramètres!$B$6:$F$8,2,FALSE()),"")</f>
        <v>5</v>
      </c>
      <c r="I433" s="13" t="s">
        <v>40</v>
      </c>
      <c r="J433" s="11" t="s">
        <v>41</v>
      </c>
      <c r="K433" s="12">
        <v>46203</v>
      </c>
      <c r="L433" s="12">
        <v>46203</v>
      </c>
      <c r="M433" s="13"/>
      <c r="N433" s="14" t="s">
        <v>87</v>
      </c>
      <c r="O433" s="12">
        <v>46210</v>
      </c>
      <c r="P433" s="11">
        <f t="shared" si="36"/>
        <v>7</v>
      </c>
      <c r="Q433" s="11" t="str">
        <f t="shared" ca="1" si="37"/>
        <v>-</v>
      </c>
      <c r="R433" s="11">
        <f>IFERROR(VLOOKUP(G433,Paramètres!$B$6:$F$8,3,FALSE()),"")</f>
        <v>2</v>
      </c>
      <c r="S433" s="11" t="str">
        <f t="shared" ca="1" si="38"/>
        <v>-</v>
      </c>
      <c r="T433" s="12">
        <v>46213</v>
      </c>
      <c r="U433" s="11">
        <f t="shared" si="39"/>
        <v>3</v>
      </c>
      <c r="V433" s="11">
        <f t="shared" si="40"/>
        <v>3</v>
      </c>
      <c r="W433" s="11" t="str">
        <f t="shared" si="41"/>
        <v>Hors délais</v>
      </c>
    </row>
    <row r="434" spans="1:23" ht="28.5">
      <c r="A434" s="11">
        <v>418</v>
      </c>
      <c r="B434" s="12">
        <v>46203</v>
      </c>
      <c r="C434" s="13" t="s">
        <v>1143</v>
      </c>
      <c r="D434" s="13" t="s">
        <v>178</v>
      </c>
      <c r="E434" s="13"/>
      <c r="F434" s="13" t="s">
        <v>1144</v>
      </c>
      <c r="G434" s="11" t="s">
        <v>39</v>
      </c>
      <c r="H434" s="11">
        <f>IFERROR(VLOOKUP(G434,Paramètres!$B$6:$F$8,2,FALSE()),"")</f>
        <v>5</v>
      </c>
      <c r="I434" s="13" t="s">
        <v>130</v>
      </c>
      <c r="J434" s="11" t="s">
        <v>48</v>
      </c>
      <c r="K434" s="12">
        <v>46204</v>
      </c>
      <c r="L434" s="12">
        <v>46205</v>
      </c>
      <c r="M434" s="13" t="s">
        <v>75</v>
      </c>
      <c r="N434" s="14" t="s">
        <v>186</v>
      </c>
      <c r="O434" s="12">
        <v>46211</v>
      </c>
      <c r="P434" s="11">
        <f t="shared" si="36"/>
        <v>8</v>
      </c>
      <c r="Q434" s="11" t="str">
        <f t="shared" ca="1" si="37"/>
        <v>-</v>
      </c>
      <c r="R434" s="11">
        <f>IFERROR(VLOOKUP(G434,Paramètres!$B$6:$F$8,3,FALSE()),"")</f>
        <v>2</v>
      </c>
      <c r="S434" s="11" t="str">
        <f t="shared" ca="1" si="38"/>
        <v>-</v>
      </c>
      <c r="T434" s="12">
        <v>46213</v>
      </c>
      <c r="U434" s="11">
        <f t="shared" si="39"/>
        <v>2</v>
      </c>
      <c r="V434" s="11">
        <f t="shared" si="40"/>
        <v>3</v>
      </c>
      <c r="W434" s="11" t="str">
        <f t="shared" si="41"/>
        <v>Hors délais</v>
      </c>
    </row>
    <row r="435" spans="1:23">
      <c r="A435" s="11">
        <v>419</v>
      </c>
      <c r="B435" s="12">
        <v>46203</v>
      </c>
      <c r="C435" s="13" t="s">
        <v>1145</v>
      </c>
      <c r="D435" s="13" t="s">
        <v>115</v>
      </c>
      <c r="E435" s="13"/>
      <c r="F435" s="13" t="s">
        <v>1146</v>
      </c>
      <c r="G435" s="11" t="s">
        <v>53</v>
      </c>
      <c r="H435" s="11" t="str">
        <f>IFERROR(VLOOKUP(G435,Paramètres!$B$6:$F$8,2,FALSE()),"")</f>
        <v>N/A</v>
      </c>
      <c r="I435" s="13" t="s">
        <v>98</v>
      </c>
      <c r="J435" s="11" t="s">
        <v>41</v>
      </c>
      <c r="K435" s="12">
        <v>46203</v>
      </c>
      <c r="L435" s="12">
        <v>46203</v>
      </c>
      <c r="M435" s="13" t="s">
        <v>61</v>
      </c>
      <c r="N435" s="14" t="s">
        <v>43</v>
      </c>
      <c r="O435" s="12"/>
      <c r="P435" s="11" t="str">
        <f t="shared" si="36"/>
        <v>-</v>
      </c>
      <c r="Q435" s="11" t="str">
        <f t="shared" ca="1" si="37"/>
        <v>-</v>
      </c>
      <c r="R435" s="11" t="str">
        <f>IFERROR(VLOOKUP(G435,Paramètres!$B$6:$F$8,3,FALSE()),"")</f>
        <v>N/A</v>
      </c>
      <c r="S435" s="11" t="str">
        <f t="shared" ca="1" si="38"/>
        <v>-</v>
      </c>
      <c r="T435" s="12"/>
      <c r="U435" s="11" t="str">
        <f t="shared" si="39"/>
        <v>-</v>
      </c>
      <c r="V435" s="11" t="str">
        <f t="shared" si="40"/>
        <v>-</v>
      </c>
      <c r="W435" s="11" t="str">
        <f t="shared" si="41"/>
        <v>Ne nécessite pas de réponse</v>
      </c>
    </row>
    <row r="436" spans="1:23">
      <c r="A436" s="11">
        <v>420</v>
      </c>
      <c r="B436" s="12">
        <v>46203</v>
      </c>
      <c r="C436" s="13" t="s">
        <v>1147</v>
      </c>
      <c r="D436" s="13" t="s">
        <v>45</v>
      </c>
      <c r="E436" s="13"/>
      <c r="F436" s="13" t="s">
        <v>1148</v>
      </c>
      <c r="G436" s="11" t="s">
        <v>39</v>
      </c>
      <c r="H436" s="11">
        <f>IFERROR(VLOOKUP(G436,Paramètres!$B$6:$F$8,2,FALSE()),"")</f>
        <v>5</v>
      </c>
      <c r="I436" s="13" t="s">
        <v>228</v>
      </c>
      <c r="J436" s="11" t="s">
        <v>55</v>
      </c>
      <c r="K436" s="12">
        <v>46203</v>
      </c>
      <c r="L436" s="12">
        <v>46203</v>
      </c>
      <c r="M436" s="13"/>
      <c r="N436" s="14" t="s">
        <v>66</v>
      </c>
      <c r="O436" s="12">
        <v>46211</v>
      </c>
      <c r="P436" s="11">
        <f t="shared" si="36"/>
        <v>8</v>
      </c>
      <c r="Q436" s="11" t="str">
        <f t="shared" ca="1" si="37"/>
        <v>-</v>
      </c>
      <c r="R436" s="11">
        <f>IFERROR(VLOOKUP(G436,Paramètres!$B$6:$F$8,3,FALSE()),"")</f>
        <v>2</v>
      </c>
      <c r="S436" s="11" t="str">
        <f t="shared" ca="1" si="38"/>
        <v>-</v>
      </c>
      <c r="T436" s="12">
        <v>46216</v>
      </c>
      <c r="U436" s="11">
        <f t="shared" si="39"/>
        <v>5</v>
      </c>
      <c r="V436" s="11">
        <f t="shared" si="40"/>
        <v>6</v>
      </c>
      <c r="W436" s="11" t="str">
        <f t="shared" si="41"/>
        <v>Hors délais</v>
      </c>
    </row>
    <row r="437" spans="1:23">
      <c r="A437" s="11">
        <v>421</v>
      </c>
      <c r="B437" s="12">
        <v>46204</v>
      </c>
      <c r="C437" s="13" t="s">
        <v>1149</v>
      </c>
      <c r="D437" s="13" t="s">
        <v>230</v>
      </c>
      <c r="E437" s="13"/>
      <c r="F437" s="13" t="s">
        <v>1150</v>
      </c>
      <c r="G437" s="11" t="s">
        <v>53</v>
      </c>
      <c r="H437" s="11" t="str">
        <f>IFERROR(VLOOKUP(G437,Paramètres!$B$6:$F$8,2,FALSE()),"")</f>
        <v>N/A</v>
      </c>
      <c r="I437" s="13" t="s">
        <v>40</v>
      </c>
      <c r="J437" s="11" t="s">
        <v>41</v>
      </c>
      <c r="K437" s="12">
        <v>46204</v>
      </c>
      <c r="L437" s="12">
        <v>46205</v>
      </c>
      <c r="M437" s="13"/>
      <c r="N437" s="14" t="s">
        <v>76</v>
      </c>
      <c r="O437" s="12"/>
      <c r="P437" s="11" t="str">
        <f t="shared" si="36"/>
        <v>-</v>
      </c>
      <c r="Q437" s="11" t="str">
        <f t="shared" ca="1" si="37"/>
        <v>-</v>
      </c>
      <c r="R437" s="11" t="str">
        <f>IFERROR(VLOOKUP(G437,Paramètres!$B$6:$F$8,3,FALSE()),"")</f>
        <v>N/A</v>
      </c>
      <c r="S437" s="11" t="str">
        <f t="shared" ca="1" si="38"/>
        <v>-</v>
      </c>
      <c r="T437" s="12"/>
      <c r="U437" s="11" t="str">
        <f t="shared" si="39"/>
        <v>-</v>
      </c>
      <c r="V437" s="11" t="str">
        <f t="shared" si="40"/>
        <v>-</v>
      </c>
      <c r="W437" s="11" t="str">
        <f t="shared" si="41"/>
        <v>Ne nécessite pas de réponse</v>
      </c>
    </row>
    <row r="438" spans="1:23">
      <c r="A438" s="11">
        <v>422</v>
      </c>
      <c r="B438" s="12">
        <v>46204</v>
      </c>
      <c r="C438" s="13" t="s">
        <v>1151</v>
      </c>
      <c r="D438" s="13" t="s">
        <v>104</v>
      </c>
      <c r="E438" s="13" t="s">
        <v>1152</v>
      </c>
      <c r="F438" s="13" t="s">
        <v>1153</v>
      </c>
      <c r="G438" s="11" t="s">
        <v>39</v>
      </c>
      <c r="H438" s="11">
        <f>IFERROR(VLOOKUP(G438,Paramètres!$B$6:$F$8,2,FALSE()),"")</f>
        <v>5</v>
      </c>
      <c r="I438" s="13" t="s">
        <v>54</v>
      </c>
      <c r="J438" s="11" t="s">
        <v>55</v>
      </c>
      <c r="K438" s="12">
        <v>46204</v>
      </c>
      <c r="L438" s="12">
        <v>46204</v>
      </c>
      <c r="M438" s="13"/>
      <c r="N438" s="14" t="s">
        <v>66</v>
      </c>
      <c r="O438" s="12">
        <v>46213</v>
      </c>
      <c r="P438" s="11">
        <f t="shared" si="36"/>
        <v>9</v>
      </c>
      <c r="Q438" s="11" t="str">
        <f t="shared" ca="1" si="37"/>
        <v>-</v>
      </c>
      <c r="R438" s="11">
        <f>IFERROR(VLOOKUP(G438,Paramètres!$B$6:$F$8,3,FALSE()),"")</f>
        <v>2</v>
      </c>
      <c r="S438" s="11" t="str">
        <f t="shared" ca="1" si="38"/>
        <v>-</v>
      </c>
      <c r="T438" s="12">
        <v>46217</v>
      </c>
      <c r="U438" s="11">
        <f t="shared" si="39"/>
        <v>4</v>
      </c>
      <c r="V438" s="11">
        <f t="shared" si="40"/>
        <v>6</v>
      </c>
      <c r="W438" s="11" t="str">
        <f t="shared" si="41"/>
        <v>Hors délais</v>
      </c>
    </row>
    <row r="439" spans="1:23">
      <c r="A439" s="11">
        <v>423</v>
      </c>
      <c r="B439" s="12">
        <v>46205</v>
      </c>
      <c r="C439" s="13" t="s">
        <v>1154</v>
      </c>
      <c r="D439" s="13" t="s">
        <v>115</v>
      </c>
      <c r="E439" s="13" t="s">
        <v>1155</v>
      </c>
      <c r="F439" s="13" t="s">
        <v>1156</v>
      </c>
      <c r="G439" s="11" t="s">
        <v>53</v>
      </c>
      <c r="H439" s="11" t="str">
        <f>IFERROR(VLOOKUP(G439,Paramètres!$B$6:$F$8,2,FALSE()),"")</f>
        <v>N/A</v>
      </c>
      <c r="I439" s="13" t="s">
        <v>120</v>
      </c>
      <c r="J439" s="11" t="s">
        <v>48</v>
      </c>
      <c r="K439" s="12">
        <v>46205</v>
      </c>
      <c r="L439" s="12">
        <v>46206</v>
      </c>
      <c r="M439" s="13"/>
      <c r="N439" s="14" t="s">
        <v>186</v>
      </c>
      <c r="O439" s="12"/>
      <c r="P439" s="11" t="str">
        <f t="shared" si="36"/>
        <v>-</v>
      </c>
      <c r="Q439" s="11" t="str">
        <f t="shared" ca="1" si="37"/>
        <v>-</v>
      </c>
      <c r="R439" s="11" t="str">
        <f>IFERROR(VLOOKUP(G439,Paramètres!$B$6:$F$8,3,FALSE()),"")</f>
        <v>N/A</v>
      </c>
      <c r="S439" s="11" t="str">
        <f t="shared" ca="1" si="38"/>
        <v>-</v>
      </c>
      <c r="T439" s="12"/>
      <c r="U439" s="11" t="str">
        <f t="shared" si="39"/>
        <v>-</v>
      </c>
      <c r="V439" s="11" t="str">
        <f t="shared" si="40"/>
        <v>-</v>
      </c>
      <c r="W439" s="11" t="str">
        <f t="shared" si="41"/>
        <v>Ne nécessite pas de réponse</v>
      </c>
    </row>
    <row r="440" spans="1:23">
      <c r="A440" s="11">
        <v>424</v>
      </c>
      <c r="B440" s="12">
        <v>46205</v>
      </c>
      <c r="C440" s="13" t="s">
        <v>1157</v>
      </c>
      <c r="D440" s="13" t="s">
        <v>175</v>
      </c>
      <c r="E440" s="13"/>
      <c r="F440" s="13" t="s">
        <v>1158</v>
      </c>
      <c r="G440" s="11" t="s">
        <v>53</v>
      </c>
      <c r="H440" s="11" t="str">
        <f>IFERROR(VLOOKUP(G440,Paramètres!$B$6:$F$8,2,FALSE()),"")</f>
        <v>N/A</v>
      </c>
      <c r="I440" s="13" t="s">
        <v>168</v>
      </c>
      <c r="J440" s="11" t="s">
        <v>48</v>
      </c>
      <c r="K440" s="12">
        <v>46205</v>
      </c>
      <c r="L440" s="12">
        <v>46206</v>
      </c>
      <c r="M440" s="13" t="s">
        <v>49</v>
      </c>
      <c r="N440" s="14" t="s">
        <v>186</v>
      </c>
      <c r="O440" s="12"/>
      <c r="P440" s="11" t="str">
        <f t="shared" si="36"/>
        <v>-</v>
      </c>
      <c r="Q440" s="11" t="str">
        <f t="shared" ca="1" si="37"/>
        <v>-</v>
      </c>
      <c r="R440" s="11" t="str">
        <f>IFERROR(VLOOKUP(G440,Paramètres!$B$6:$F$8,3,FALSE()),"")</f>
        <v>N/A</v>
      </c>
      <c r="S440" s="11" t="str">
        <f t="shared" ca="1" si="38"/>
        <v>-</v>
      </c>
      <c r="T440" s="12"/>
      <c r="U440" s="11" t="str">
        <f t="shared" si="39"/>
        <v>-</v>
      </c>
      <c r="V440" s="11" t="str">
        <f t="shared" si="40"/>
        <v>-</v>
      </c>
      <c r="W440" s="11" t="str">
        <f t="shared" si="41"/>
        <v>Ne nécessite pas de réponse</v>
      </c>
    </row>
    <row r="441" spans="1:23">
      <c r="A441" s="11">
        <v>425</v>
      </c>
      <c r="B441" s="12">
        <v>46205</v>
      </c>
      <c r="C441" s="13" t="s">
        <v>1159</v>
      </c>
      <c r="D441" s="13" t="s">
        <v>137</v>
      </c>
      <c r="E441" s="13" t="s">
        <v>1160</v>
      </c>
      <c r="F441" s="13" t="s">
        <v>1161</v>
      </c>
      <c r="G441" s="11" t="s">
        <v>53</v>
      </c>
      <c r="H441" s="11" t="str">
        <f>IFERROR(VLOOKUP(G441,Paramètres!$B$6:$F$8,2,FALSE()),"")</f>
        <v>N/A</v>
      </c>
      <c r="I441" s="13" t="s">
        <v>130</v>
      </c>
      <c r="J441" s="11" t="s">
        <v>48</v>
      </c>
      <c r="K441" s="12">
        <v>46205</v>
      </c>
      <c r="L441" s="12">
        <v>46205</v>
      </c>
      <c r="M441" s="13"/>
      <c r="N441" s="14" t="s">
        <v>186</v>
      </c>
      <c r="O441" s="12"/>
      <c r="P441" s="11" t="str">
        <f t="shared" si="36"/>
        <v>-</v>
      </c>
      <c r="Q441" s="11" t="str">
        <f t="shared" ca="1" si="37"/>
        <v>-</v>
      </c>
      <c r="R441" s="11" t="str">
        <f>IFERROR(VLOOKUP(G441,Paramètres!$B$6:$F$8,3,FALSE()),"")</f>
        <v>N/A</v>
      </c>
      <c r="S441" s="11" t="str">
        <f t="shared" ca="1" si="38"/>
        <v>-</v>
      </c>
      <c r="T441" s="12"/>
      <c r="U441" s="11" t="str">
        <f t="shared" si="39"/>
        <v>-</v>
      </c>
      <c r="V441" s="11" t="str">
        <f t="shared" si="40"/>
        <v>-</v>
      </c>
      <c r="W441" s="11" t="str">
        <f t="shared" si="41"/>
        <v>Ne nécessite pas de réponse</v>
      </c>
    </row>
    <row r="442" spans="1:23">
      <c r="A442" s="11">
        <v>426</v>
      </c>
      <c r="B442" s="12">
        <v>46209</v>
      </c>
      <c r="C442" s="13" t="s">
        <v>1162</v>
      </c>
      <c r="D442" s="13" t="s">
        <v>178</v>
      </c>
      <c r="E442" s="13" t="s">
        <v>1163</v>
      </c>
      <c r="F442" s="13" t="s">
        <v>1164</v>
      </c>
      <c r="G442" s="11" t="s">
        <v>39</v>
      </c>
      <c r="H442" s="11">
        <f>IFERROR(VLOOKUP(G442,Paramètres!$B$6:$F$8,2,FALSE()),"")</f>
        <v>5</v>
      </c>
      <c r="I442" s="13" t="s">
        <v>65</v>
      </c>
      <c r="J442" s="11" t="s">
        <v>55</v>
      </c>
      <c r="K442" s="12">
        <v>46209</v>
      </c>
      <c r="L442" s="12">
        <v>46209</v>
      </c>
      <c r="M442" s="13" t="s">
        <v>42</v>
      </c>
      <c r="N442" s="14" t="s">
        <v>102</v>
      </c>
      <c r="O442" s="12"/>
      <c r="P442" s="11" t="str">
        <f t="shared" si="36"/>
        <v/>
      </c>
      <c r="Q442" s="11" t="str">
        <f t="shared" ca="1" si="37"/>
        <v>ROUGE</v>
      </c>
      <c r="R442" s="11">
        <f>IFERROR(VLOOKUP(G442,Paramètres!$B$6:$F$8,3,FALSE()),"")</f>
        <v>2</v>
      </c>
      <c r="S442" s="11" t="str">
        <f t="shared" ca="1" si="38"/>
        <v/>
      </c>
      <c r="T442" s="12"/>
      <c r="U442" s="11" t="str">
        <f t="shared" si="39"/>
        <v/>
      </c>
      <c r="V442" s="11" t="str">
        <f t="shared" si="40"/>
        <v/>
      </c>
      <c r="W442" s="11" t="str">
        <f t="shared" si="41"/>
        <v/>
      </c>
    </row>
    <row r="443" spans="1:23">
      <c r="A443" s="11">
        <v>427</v>
      </c>
      <c r="B443" s="12">
        <v>46210</v>
      </c>
      <c r="C443" s="13" t="s">
        <v>1165</v>
      </c>
      <c r="D443" s="13" t="s">
        <v>89</v>
      </c>
      <c r="E443" s="13"/>
      <c r="F443" s="13" t="s">
        <v>1166</v>
      </c>
      <c r="G443" s="11" t="s">
        <v>39</v>
      </c>
      <c r="H443" s="11">
        <f>IFERROR(VLOOKUP(G443,Paramètres!$B$6:$F$8,2,FALSE()),"")</f>
        <v>5</v>
      </c>
      <c r="I443" s="13" t="s">
        <v>47</v>
      </c>
      <c r="J443" s="11" t="s">
        <v>48</v>
      </c>
      <c r="K443" s="12">
        <v>46210</v>
      </c>
      <c r="L443" s="12">
        <v>46211</v>
      </c>
      <c r="M443" s="13" t="s">
        <v>61</v>
      </c>
      <c r="N443" s="14" t="s">
        <v>50</v>
      </c>
      <c r="O443" s="12">
        <v>46213</v>
      </c>
      <c r="P443" s="11">
        <f t="shared" si="36"/>
        <v>3</v>
      </c>
      <c r="Q443" s="11" t="str">
        <f t="shared" ca="1" si="37"/>
        <v>-</v>
      </c>
      <c r="R443" s="11">
        <f>IFERROR(VLOOKUP(G443,Paramètres!$B$6:$F$8,3,FALSE()),"")</f>
        <v>2</v>
      </c>
      <c r="S443" s="11" t="str">
        <f t="shared" ca="1" si="38"/>
        <v>-</v>
      </c>
      <c r="T443" s="12">
        <v>46213</v>
      </c>
      <c r="U443" s="11">
        <f t="shared" si="39"/>
        <v>0</v>
      </c>
      <c r="V443" s="11">
        <f t="shared" si="40"/>
        <v>-4</v>
      </c>
      <c r="W443" s="11" t="str">
        <f t="shared" si="41"/>
        <v>Dans les délais</v>
      </c>
    </row>
    <row r="444" spans="1:23">
      <c r="A444" s="11">
        <v>428</v>
      </c>
      <c r="B444" s="12">
        <v>46210</v>
      </c>
      <c r="C444" s="13" t="s">
        <v>1167</v>
      </c>
      <c r="D444" s="13" t="s">
        <v>81</v>
      </c>
      <c r="E444" s="13"/>
      <c r="F444" s="13" t="s">
        <v>1168</v>
      </c>
      <c r="G444" s="11" t="s">
        <v>53</v>
      </c>
      <c r="H444" s="11" t="str">
        <f>IFERROR(VLOOKUP(G444,Paramètres!$B$6:$F$8,2,FALSE()),"")</f>
        <v>N/A</v>
      </c>
      <c r="I444" s="13" t="s">
        <v>91</v>
      </c>
      <c r="J444" s="11" t="s">
        <v>41</v>
      </c>
      <c r="K444" s="12">
        <v>46210</v>
      </c>
      <c r="L444" s="12">
        <v>46210</v>
      </c>
      <c r="M444" s="13"/>
      <c r="N444" s="14" t="s">
        <v>87</v>
      </c>
      <c r="O444" s="12"/>
      <c r="P444" s="11" t="str">
        <f t="shared" si="36"/>
        <v>-</v>
      </c>
      <c r="Q444" s="11" t="str">
        <f t="shared" ca="1" si="37"/>
        <v>-</v>
      </c>
      <c r="R444" s="11" t="str">
        <f>IFERROR(VLOOKUP(G444,Paramètres!$B$6:$F$8,3,FALSE()),"")</f>
        <v>N/A</v>
      </c>
      <c r="S444" s="11" t="str">
        <f t="shared" ca="1" si="38"/>
        <v>-</v>
      </c>
      <c r="T444" s="12"/>
      <c r="U444" s="11" t="str">
        <f t="shared" si="39"/>
        <v>-</v>
      </c>
      <c r="V444" s="11" t="str">
        <f t="shared" si="40"/>
        <v>-</v>
      </c>
      <c r="W444" s="11" t="str">
        <f t="shared" si="41"/>
        <v>Ne nécessite pas de réponse</v>
      </c>
    </row>
    <row r="445" spans="1:23" ht="28.5">
      <c r="A445" s="11">
        <v>429</v>
      </c>
      <c r="B445" s="12">
        <v>46210</v>
      </c>
      <c r="C445" s="13" t="s">
        <v>1169</v>
      </c>
      <c r="D445" s="13" t="s">
        <v>81</v>
      </c>
      <c r="E445" s="13" t="s">
        <v>1170</v>
      </c>
      <c r="F445" s="13" t="s">
        <v>1171</v>
      </c>
      <c r="G445" s="11" t="s">
        <v>39</v>
      </c>
      <c r="H445" s="11">
        <f>IFERROR(VLOOKUP(G445,Paramètres!$B$6:$F$8,2,FALSE()),"")</f>
        <v>5</v>
      </c>
      <c r="I445" s="13" t="s">
        <v>74</v>
      </c>
      <c r="J445" s="11" t="s">
        <v>41</v>
      </c>
      <c r="K445" s="12">
        <v>46211</v>
      </c>
      <c r="L445" s="12">
        <v>46212</v>
      </c>
      <c r="M445" s="13" t="s">
        <v>75</v>
      </c>
      <c r="N445" s="14" t="s">
        <v>87</v>
      </c>
      <c r="O445" s="12">
        <v>46217</v>
      </c>
      <c r="P445" s="11">
        <f t="shared" si="36"/>
        <v>7</v>
      </c>
      <c r="Q445" s="11" t="str">
        <f t="shared" ca="1" si="37"/>
        <v>-</v>
      </c>
      <c r="R445" s="11">
        <f>IFERROR(VLOOKUP(G445,Paramètres!$B$6:$F$8,3,FALSE()),"")</f>
        <v>2</v>
      </c>
      <c r="S445" s="11" t="str">
        <f t="shared" ca="1" si="38"/>
        <v>-</v>
      </c>
      <c r="T445" s="12">
        <v>46219</v>
      </c>
      <c r="U445" s="11">
        <f t="shared" si="39"/>
        <v>2</v>
      </c>
      <c r="V445" s="11">
        <f t="shared" si="40"/>
        <v>2</v>
      </c>
      <c r="W445" s="11" t="str">
        <f t="shared" si="41"/>
        <v>Hors délais</v>
      </c>
    </row>
    <row r="446" spans="1:23">
      <c r="A446" s="11">
        <v>430</v>
      </c>
      <c r="B446" s="12">
        <v>46210</v>
      </c>
      <c r="C446" s="13" t="s">
        <v>1172</v>
      </c>
      <c r="D446" s="13" t="s">
        <v>100</v>
      </c>
      <c r="E446" s="13"/>
      <c r="F446" s="13" t="s">
        <v>1173</v>
      </c>
      <c r="G446" s="11" t="s">
        <v>39</v>
      </c>
      <c r="H446" s="11">
        <f>IFERROR(VLOOKUP(G446,Paramètres!$B$6:$F$8,2,FALSE()),"")</f>
        <v>5</v>
      </c>
      <c r="I446" s="13" t="s">
        <v>98</v>
      </c>
      <c r="J446" s="11" t="s">
        <v>41</v>
      </c>
      <c r="K446" s="12">
        <v>46210</v>
      </c>
      <c r="L446" s="12">
        <v>46210</v>
      </c>
      <c r="M446" s="13" t="s">
        <v>42</v>
      </c>
      <c r="N446" s="14" t="s">
        <v>87</v>
      </c>
      <c r="O446" s="12">
        <v>46218</v>
      </c>
      <c r="P446" s="11">
        <f t="shared" si="36"/>
        <v>8</v>
      </c>
      <c r="Q446" s="11" t="str">
        <f t="shared" ca="1" si="37"/>
        <v>-</v>
      </c>
      <c r="R446" s="11">
        <f>IFERROR(VLOOKUP(G446,Paramètres!$B$6:$F$8,3,FALSE()),"")</f>
        <v>2</v>
      </c>
      <c r="S446" s="11" t="str">
        <f t="shared" ca="1" si="38"/>
        <v>-</v>
      </c>
      <c r="T446" s="12">
        <v>46218</v>
      </c>
      <c r="U446" s="11">
        <f t="shared" si="39"/>
        <v>0</v>
      </c>
      <c r="V446" s="11">
        <f t="shared" si="40"/>
        <v>1</v>
      </c>
      <c r="W446" s="11" t="str">
        <f t="shared" si="41"/>
        <v>Hors délais</v>
      </c>
    </row>
    <row r="447" spans="1:23">
      <c r="A447" s="11">
        <v>431</v>
      </c>
      <c r="B447" s="12">
        <v>46210</v>
      </c>
      <c r="C447" s="13" t="s">
        <v>1174</v>
      </c>
      <c r="D447" s="13" t="s">
        <v>115</v>
      </c>
      <c r="E447" s="13" t="s">
        <v>1175</v>
      </c>
      <c r="F447" s="13" t="s">
        <v>1176</v>
      </c>
      <c r="G447" s="11" t="s">
        <v>39</v>
      </c>
      <c r="H447" s="11">
        <f>IFERROR(VLOOKUP(G447,Paramètres!$B$6:$F$8,2,FALSE()),"")</f>
        <v>5</v>
      </c>
      <c r="I447" s="13" t="s">
        <v>108</v>
      </c>
      <c r="J447" s="11" t="s">
        <v>55</v>
      </c>
      <c r="K447" s="12">
        <v>46211</v>
      </c>
      <c r="L447" s="12">
        <v>46211</v>
      </c>
      <c r="M447" s="13" t="s">
        <v>56</v>
      </c>
      <c r="N447" s="14" t="s">
        <v>57</v>
      </c>
      <c r="O447" s="12"/>
      <c r="P447" s="11" t="str">
        <f t="shared" si="36"/>
        <v/>
      </c>
      <c r="Q447" s="11" t="str">
        <f t="shared" ca="1" si="37"/>
        <v>ROUGE</v>
      </c>
      <c r="R447" s="11">
        <f>IFERROR(VLOOKUP(G447,Paramètres!$B$6:$F$8,3,FALSE()),"")</f>
        <v>2</v>
      </c>
      <c r="S447" s="11" t="str">
        <f t="shared" ca="1" si="38"/>
        <v/>
      </c>
      <c r="T447" s="12"/>
      <c r="U447" s="11" t="str">
        <f t="shared" si="39"/>
        <v/>
      </c>
      <c r="V447" s="11" t="str">
        <f t="shared" si="40"/>
        <v/>
      </c>
      <c r="W447" s="11" t="str">
        <f t="shared" si="41"/>
        <v/>
      </c>
    </row>
    <row r="448" spans="1:23">
      <c r="A448" s="11">
        <v>432</v>
      </c>
      <c r="B448" s="12">
        <v>46210</v>
      </c>
      <c r="C448" s="13" t="s">
        <v>1177</v>
      </c>
      <c r="D448" s="13" t="s">
        <v>81</v>
      </c>
      <c r="E448" s="13" t="s">
        <v>1178</v>
      </c>
      <c r="F448" s="13" t="s">
        <v>1179</v>
      </c>
      <c r="G448" s="11" t="s">
        <v>39</v>
      </c>
      <c r="H448" s="11">
        <f>IFERROR(VLOOKUP(G448,Paramètres!$B$6:$F$8,2,FALSE()),"")</f>
        <v>5</v>
      </c>
      <c r="I448" s="13" t="s">
        <v>108</v>
      </c>
      <c r="J448" s="11" t="s">
        <v>55</v>
      </c>
      <c r="K448" s="12">
        <v>46210</v>
      </c>
      <c r="L448" s="12">
        <v>46210</v>
      </c>
      <c r="M448" s="13"/>
      <c r="N448" s="14" t="s">
        <v>102</v>
      </c>
      <c r="O448" s="12">
        <v>46217</v>
      </c>
      <c r="P448" s="11">
        <f t="shared" si="36"/>
        <v>7</v>
      </c>
      <c r="Q448" s="11" t="str">
        <f t="shared" ca="1" si="37"/>
        <v>-</v>
      </c>
      <c r="R448" s="11">
        <f>IFERROR(VLOOKUP(G448,Paramètres!$B$6:$F$8,3,FALSE()),"")</f>
        <v>2</v>
      </c>
      <c r="S448" s="11" t="str">
        <f t="shared" ca="1" si="38"/>
        <v>-</v>
      </c>
      <c r="T448" s="12">
        <v>46219</v>
      </c>
      <c r="U448" s="11">
        <f t="shared" si="39"/>
        <v>2</v>
      </c>
      <c r="V448" s="11">
        <f t="shared" si="40"/>
        <v>2</v>
      </c>
      <c r="W448" s="11" t="str">
        <f t="shared" si="41"/>
        <v>Hors délais</v>
      </c>
    </row>
    <row r="449" spans="1:23">
      <c r="A449" s="11">
        <v>433</v>
      </c>
      <c r="B449" s="12">
        <v>46210</v>
      </c>
      <c r="C449" s="13" t="s">
        <v>1180</v>
      </c>
      <c r="D449" s="13" t="s">
        <v>230</v>
      </c>
      <c r="E449" s="13"/>
      <c r="F449" s="13" t="s">
        <v>1181</v>
      </c>
      <c r="G449" s="11" t="s">
        <v>39</v>
      </c>
      <c r="H449" s="11">
        <f>IFERROR(VLOOKUP(G449,Paramètres!$B$6:$F$8,2,FALSE()),"")</f>
        <v>5</v>
      </c>
      <c r="I449" s="13" t="s">
        <v>54</v>
      </c>
      <c r="J449" s="11" t="s">
        <v>55</v>
      </c>
      <c r="K449" s="12">
        <v>46210</v>
      </c>
      <c r="L449" s="12">
        <v>46210</v>
      </c>
      <c r="M449" s="13" t="s">
        <v>61</v>
      </c>
      <c r="N449" s="14" t="s">
        <v>57</v>
      </c>
      <c r="O449" s="12">
        <v>46217</v>
      </c>
      <c r="P449" s="11">
        <f t="shared" si="36"/>
        <v>7</v>
      </c>
      <c r="Q449" s="11" t="str">
        <f t="shared" ca="1" si="37"/>
        <v>-</v>
      </c>
      <c r="R449" s="11">
        <f>IFERROR(VLOOKUP(G449,Paramètres!$B$6:$F$8,3,FALSE()),"")</f>
        <v>2</v>
      </c>
      <c r="S449" s="11" t="str">
        <f t="shared" ca="1" si="38"/>
        <v>-</v>
      </c>
      <c r="T449" s="12">
        <v>46218</v>
      </c>
      <c r="U449" s="11">
        <f t="shared" si="39"/>
        <v>1</v>
      </c>
      <c r="V449" s="11">
        <f t="shared" si="40"/>
        <v>1</v>
      </c>
      <c r="W449" s="11" t="str">
        <f t="shared" si="41"/>
        <v>Hors délais</v>
      </c>
    </row>
    <row r="450" spans="1:23">
      <c r="A450" s="11">
        <v>434</v>
      </c>
      <c r="B450" s="12">
        <v>46211</v>
      </c>
      <c r="C450" s="13" t="s">
        <v>1182</v>
      </c>
      <c r="D450" s="13" t="s">
        <v>96</v>
      </c>
      <c r="E450" s="13"/>
      <c r="F450" s="13" t="s">
        <v>1183</v>
      </c>
      <c r="G450" s="11" t="s">
        <v>53</v>
      </c>
      <c r="H450" s="11" t="str">
        <f>IFERROR(VLOOKUP(G450,Paramètres!$B$6:$F$8,2,FALSE()),"")</f>
        <v>N/A</v>
      </c>
      <c r="I450" s="13" t="s">
        <v>74</v>
      </c>
      <c r="J450" s="11" t="s">
        <v>41</v>
      </c>
      <c r="K450" s="12">
        <v>46212</v>
      </c>
      <c r="L450" s="12">
        <v>46212</v>
      </c>
      <c r="M450" s="13" t="s">
        <v>61</v>
      </c>
      <c r="N450" s="14" t="s">
        <v>76</v>
      </c>
      <c r="O450" s="12"/>
      <c r="P450" s="11" t="str">
        <f t="shared" si="36"/>
        <v>-</v>
      </c>
      <c r="Q450" s="11" t="str">
        <f t="shared" ca="1" si="37"/>
        <v>-</v>
      </c>
      <c r="R450" s="11" t="str">
        <f>IFERROR(VLOOKUP(G450,Paramètres!$B$6:$F$8,3,FALSE()),"")</f>
        <v>N/A</v>
      </c>
      <c r="S450" s="11" t="str">
        <f t="shared" ca="1" si="38"/>
        <v>-</v>
      </c>
      <c r="T450" s="12"/>
      <c r="U450" s="11" t="str">
        <f t="shared" si="39"/>
        <v>-</v>
      </c>
      <c r="V450" s="11" t="str">
        <f t="shared" si="40"/>
        <v>-</v>
      </c>
      <c r="W450" s="11" t="str">
        <f t="shared" si="41"/>
        <v>Ne nécessite pas de réponse</v>
      </c>
    </row>
    <row r="451" spans="1:23">
      <c r="A451" s="11">
        <v>435</v>
      </c>
      <c r="B451" s="12">
        <v>46211</v>
      </c>
      <c r="C451" s="13" t="s">
        <v>1184</v>
      </c>
      <c r="D451" s="13" t="s">
        <v>175</v>
      </c>
      <c r="E451" s="13"/>
      <c r="F451" s="13" t="s">
        <v>1185</v>
      </c>
      <c r="G451" s="11" t="s">
        <v>53</v>
      </c>
      <c r="H451" s="11" t="str">
        <f>IFERROR(VLOOKUP(G451,Paramètres!$B$6:$F$8,2,FALSE()),"")</f>
        <v>N/A</v>
      </c>
      <c r="I451" s="13" t="s">
        <v>108</v>
      </c>
      <c r="J451" s="11" t="s">
        <v>55</v>
      </c>
      <c r="K451" s="12">
        <v>46212</v>
      </c>
      <c r="L451" s="12">
        <v>46212</v>
      </c>
      <c r="M451" s="13" t="s">
        <v>56</v>
      </c>
      <c r="N451" s="14" t="s">
        <v>102</v>
      </c>
      <c r="O451" s="12"/>
      <c r="P451" s="11" t="str">
        <f t="shared" si="36"/>
        <v>-</v>
      </c>
      <c r="Q451" s="11" t="str">
        <f t="shared" ca="1" si="37"/>
        <v>-</v>
      </c>
      <c r="R451" s="11" t="str">
        <f>IFERROR(VLOOKUP(G451,Paramètres!$B$6:$F$8,3,FALSE()),"")</f>
        <v>N/A</v>
      </c>
      <c r="S451" s="11" t="str">
        <f t="shared" ca="1" si="38"/>
        <v>-</v>
      </c>
      <c r="T451" s="12"/>
      <c r="U451" s="11" t="str">
        <f t="shared" si="39"/>
        <v>-</v>
      </c>
      <c r="V451" s="11" t="str">
        <f t="shared" si="40"/>
        <v>-</v>
      </c>
      <c r="W451" s="11" t="str">
        <f t="shared" si="41"/>
        <v>Ne nécessite pas de réponse</v>
      </c>
    </row>
    <row r="452" spans="1:23">
      <c r="A452" s="11">
        <v>436</v>
      </c>
      <c r="B452" s="12">
        <v>46211</v>
      </c>
      <c r="C452" s="13" t="s">
        <v>1186</v>
      </c>
      <c r="D452" s="13" t="s">
        <v>37</v>
      </c>
      <c r="E452" s="13" t="s">
        <v>1187</v>
      </c>
      <c r="F452" s="13" t="s">
        <v>1188</v>
      </c>
      <c r="G452" s="11" t="s">
        <v>53</v>
      </c>
      <c r="H452" s="11" t="str">
        <f>IFERROR(VLOOKUP(G452,Paramètres!$B$6:$F$8,2,FALSE()),"")</f>
        <v>N/A</v>
      </c>
      <c r="I452" s="13" t="s">
        <v>155</v>
      </c>
      <c r="J452" s="11" t="s">
        <v>48</v>
      </c>
      <c r="K452" s="12">
        <v>46211</v>
      </c>
      <c r="L452" s="12">
        <v>46211</v>
      </c>
      <c r="M452" s="13" t="s">
        <v>56</v>
      </c>
      <c r="N452" s="14" t="s">
        <v>186</v>
      </c>
      <c r="O452" s="12"/>
      <c r="P452" s="11" t="str">
        <f t="shared" si="36"/>
        <v>-</v>
      </c>
      <c r="Q452" s="11" t="str">
        <f t="shared" ca="1" si="37"/>
        <v>-</v>
      </c>
      <c r="R452" s="11" t="str">
        <f>IFERROR(VLOOKUP(G452,Paramètres!$B$6:$F$8,3,FALSE()),"")</f>
        <v>N/A</v>
      </c>
      <c r="S452" s="11" t="str">
        <f t="shared" ca="1" si="38"/>
        <v>-</v>
      </c>
      <c r="T452" s="12"/>
      <c r="U452" s="11" t="str">
        <f t="shared" si="39"/>
        <v>-</v>
      </c>
      <c r="V452" s="11" t="str">
        <f t="shared" si="40"/>
        <v>-</v>
      </c>
      <c r="W452" s="11" t="str">
        <f t="shared" si="41"/>
        <v>Ne nécessite pas de réponse</v>
      </c>
    </row>
    <row r="453" spans="1:23">
      <c r="A453" s="11">
        <v>437</v>
      </c>
      <c r="B453" s="12">
        <v>46211</v>
      </c>
      <c r="C453" s="13" t="s">
        <v>1189</v>
      </c>
      <c r="D453" s="13" t="s">
        <v>115</v>
      </c>
      <c r="E453" s="13" t="s">
        <v>1190</v>
      </c>
      <c r="F453" s="13" t="s">
        <v>1191</v>
      </c>
      <c r="G453" s="11" t="s">
        <v>84</v>
      </c>
      <c r="H453" s="11">
        <f>IFERROR(VLOOKUP(G453,Paramètres!$B$6:$F$8,2,FALSE()),"")</f>
        <v>5</v>
      </c>
      <c r="I453" s="13" t="s">
        <v>232</v>
      </c>
      <c r="J453" s="11" t="s">
        <v>55</v>
      </c>
      <c r="K453" s="12">
        <v>46211</v>
      </c>
      <c r="L453" s="12">
        <v>46211</v>
      </c>
      <c r="M453" s="13"/>
      <c r="N453" s="14" t="s">
        <v>66</v>
      </c>
      <c r="O453" s="12">
        <v>46218</v>
      </c>
      <c r="P453" s="11">
        <f t="shared" si="36"/>
        <v>7</v>
      </c>
      <c r="Q453" s="11" t="str">
        <f t="shared" ca="1" si="37"/>
        <v>-</v>
      </c>
      <c r="R453" s="11">
        <f>IFERROR(VLOOKUP(G453,Paramètres!$B$6:$F$8,3,FALSE()),"")</f>
        <v>2</v>
      </c>
      <c r="S453" s="11" t="str">
        <f t="shared" ca="1" si="38"/>
        <v>-</v>
      </c>
      <c r="T453" s="12">
        <v>46220</v>
      </c>
      <c r="U453" s="11">
        <f t="shared" si="39"/>
        <v>2</v>
      </c>
      <c r="V453" s="11">
        <f t="shared" si="40"/>
        <v>2</v>
      </c>
      <c r="W453" s="11" t="str">
        <f t="shared" si="41"/>
        <v>Hors délais</v>
      </c>
    </row>
    <row r="454" spans="1:23">
      <c r="A454" s="11">
        <v>438</v>
      </c>
      <c r="B454" s="12">
        <v>46211</v>
      </c>
      <c r="C454" s="13" t="s">
        <v>1192</v>
      </c>
      <c r="D454" s="13" t="s">
        <v>89</v>
      </c>
      <c r="E454" s="13"/>
      <c r="F454" s="13" t="s">
        <v>1193</v>
      </c>
      <c r="G454" s="11" t="s">
        <v>53</v>
      </c>
      <c r="H454" s="11" t="str">
        <f>IFERROR(VLOOKUP(G454,Paramètres!$B$6:$F$8,2,FALSE()),"")</f>
        <v>N/A</v>
      </c>
      <c r="I454" s="13" t="s">
        <v>108</v>
      </c>
      <c r="J454" s="11" t="s">
        <v>55</v>
      </c>
      <c r="K454" s="12">
        <v>46211</v>
      </c>
      <c r="L454" s="12">
        <v>46211</v>
      </c>
      <c r="M454" s="13"/>
      <c r="N454" s="14" t="s">
        <v>102</v>
      </c>
      <c r="O454" s="12"/>
      <c r="P454" s="11" t="str">
        <f t="shared" si="36"/>
        <v>-</v>
      </c>
      <c r="Q454" s="11" t="str">
        <f t="shared" ca="1" si="37"/>
        <v>-</v>
      </c>
      <c r="R454" s="11" t="str">
        <f>IFERROR(VLOOKUP(G454,Paramètres!$B$6:$F$8,3,FALSE()),"")</f>
        <v>N/A</v>
      </c>
      <c r="S454" s="11" t="str">
        <f t="shared" ca="1" si="38"/>
        <v>-</v>
      </c>
      <c r="T454" s="12"/>
      <c r="U454" s="11" t="str">
        <f t="shared" si="39"/>
        <v>-</v>
      </c>
      <c r="V454" s="11" t="str">
        <f t="shared" si="40"/>
        <v>-</v>
      </c>
      <c r="W454" s="11" t="str">
        <f t="shared" si="41"/>
        <v>Ne nécessite pas de réponse</v>
      </c>
    </row>
    <row r="455" spans="1:23">
      <c r="A455" s="11">
        <v>439</v>
      </c>
      <c r="B455" s="12">
        <v>46211</v>
      </c>
      <c r="C455" s="13" t="s">
        <v>1194</v>
      </c>
      <c r="D455" s="13" t="s">
        <v>45</v>
      </c>
      <c r="E455" s="13"/>
      <c r="F455" s="13" t="s">
        <v>1195</v>
      </c>
      <c r="G455" s="11" t="s">
        <v>53</v>
      </c>
      <c r="H455" s="11" t="str">
        <f>IFERROR(VLOOKUP(G455,Paramètres!$B$6:$F$8,2,FALSE()),"")</f>
        <v>N/A</v>
      </c>
      <c r="I455" s="13" t="s">
        <v>130</v>
      </c>
      <c r="J455" s="11" t="s">
        <v>48</v>
      </c>
      <c r="K455" s="12">
        <v>46211</v>
      </c>
      <c r="L455" s="12">
        <v>46211</v>
      </c>
      <c r="M455" s="13"/>
      <c r="N455" s="14" t="s">
        <v>186</v>
      </c>
      <c r="O455" s="12"/>
      <c r="P455" s="11" t="str">
        <f t="shared" si="36"/>
        <v>-</v>
      </c>
      <c r="Q455" s="11" t="str">
        <f t="shared" ca="1" si="37"/>
        <v>-</v>
      </c>
      <c r="R455" s="11" t="str">
        <f>IFERROR(VLOOKUP(G455,Paramètres!$B$6:$F$8,3,FALSE()),"")</f>
        <v>N/A</v>
      </c>
      <c r="S455" s="11" t="str">
        <f t="shared" ca="1" si="38"/>
        <v>-</v>
      </c>
      <c r="T455" s="12"/>
      <c r="U455" s="11" t="str">
        <f t="shared" si="39"/>
        <v>-</v>
      </c>
      <c r="V455" s="11" t="str">
        <f t="shared" si="40"/>
        <v>-</v>
      </c>
      <c r="W455" s="11" t="str">
        <f t="shared" si="41"/>
        <v>Ne nécessite pas de réponse</v>
      </c>
    </row>
    <row r="456" spans="1:23">
      <c r="A456" s="11">
        <v>440</v>
      </c>
      <c r="B456" s="12">
        <v>46211</v>
      </c>
      <c r="C456" s="13" t="s">
        <v>1196</v>
      </c>
      <c r="D456" s="13" t="s">
        <v>37</v>
      </c>
      <c r="E456" s="13"/>
      <c r="F456" s="13" t="s">
        <v>1197</v>
      </c>
      <c r="G456" s="11" t="s">
        <v>39</v>
      </c>
      <c r="H456" s="11">
        <f>IFERROR(VLOOKUP(G456,Paramètres!$B$6:$F$8,2,FALSE()),"")</f>
        <v>5</v>
      </c>
      <c r="I456" s="13" t="s">
        <v>240</v>
      </c>
      <c r="J456" s="11" t="s">
        <v>55</v>
      </c>
      <c r="K456" s="12">
        <v>46212</v>
      </c>
      <c r="L456" s="12">
        <v>46213</v>
      </c>
      <c r="M456" s="13" t="s">
        <v>42</v>
      </c>
      <c r="N456" s="14" t="s">
        <v>102</v>
      </c>
      <c r="O456" s="12">
        <v>46217</v>
      </c>
      <c r="P456" s="11">
        <f t="shared" si="36"/>
        <v>6</v>
      </c>
      <c r="Q456" s="11" t="str">
        <f t="shared" ca="1" si="37"/>
        <v>-</v>
      </c>
      <c r="R456" s="11">
        <f>IFERROR(VLOOKUP(G456,Paramètres!$B$6:$F$8,3,FALSE()),"")</f>
        <v>2</v>
      </c>
      <c r="S456" s="11" t="str">
        <f t="shared" ca="1" si="38"/>
        <v>-</v>
      </c>
      <c r="T456" s="12">
        <v>46218</v>
      </c>
      <c r="U456" s="11">
        <f t="shared" si="39"/>
        <v>1</v>
      </c>
      <c r="V456" s="11">
        <f t="shared" si="40"/>
        <v>0</v>
      </c>
      <c r="W456" s="11" t="str">
        <f t="shared" si="41"/>
        <v>Dans les délais</v>
      </c>
    </row>
    <row r="457" spans="1:23" ht="28.5">
      <c r="A457" s="11">
        <v>441</v>
      </c>
      <c r="B457" s="12">
        <v>46211</v>
      </c>
      <c r="C457" s="13" t="s">
        <v>1198</v>
      </c>
      <c r="D457" s="13" t="s">
        <v>145</v>
      </c>
      <c r="E457" s="13"/>
      <c r="F457" s="13" t="s">
        <v>1199</v>
      </c>
      <c r="G457" s="11" t="s">
        <v>39</v>
      </c>
      <c r="H457" s="11">
        <f>IFERROR(VLOOKUP(G457,Paramètres!$B$6:$F$8,2,FALSE()),"")</f>
        <v>5</v>
      </c>
      <c r="I457" s="13" t="s">
        <v>65</v>
      </c>
      <c r="J457" s="11" t="s">
        <v>55</v>
      </c>
      <c r="K457" s="12">
        <v>46212</v>
      </c>
      <c r="L457" s="12">
        <v>46212</v>
      </c>
      <c r="M457" s="13" t="s">
        <v>75</v>
      </c>
      <c r="N457" s="14" t="s">
        <v>66</v>
      </c>
      <c r="O457" s="12">
        <v>46219</v>
      </c>
      <c r="P457" s="11">
        <f t="shared" si="36"/>
        <v>8</v>
      </c>
      <c r="Q457" s="11" t="str">
        <f t="shared" ca="1" si="37"/>
        <v>-</v>
      </c>
      <c r="R457" s="11">
        <f>IFERROR(VLOOKUP(G457,Paramètres!$B$6:$F$8,3,FALSE()),"")</f>
        <v>2</v>
      </c>
      <c r="S457" s="11" t="str">
        <f t="shared" ca="1" si="38"/>
        <v>-</v>
      </c>
      <c r="T457" s="12">
        <v>46223</v>
      </c>
      <c r="U457" s="11">
        <f t="shared" si="39"/>
        <v>4</v>
      </c>
      <c r="V457" s="11">
        <f t="shared" si="40"/>
        <v>5</v>
      </c>
      <c r="W457" s="11" t="str">
        <f t="shared" si="41"/>
        <v>Hors délais</v>
      </c>
    </row>
    <row r="458" spans="1:23">
      <c r="A458" s="11">
        <v>442</v>
      </c>
      <c r="B458" s="12">
        <v>46212</v>
      </c>
      <c r="C458" s="13" t="s">
        <v>1200</v>
      </c>
      <c r="D458" s="13" t="s">
        <v>63</v>
      </c>
      <c r="E458" s="13"/>
      <c r="F458" s="13" t="s">
        <v>1201</v>
      </c>
      <c r="G458" s="11" t="s">
        <v>53</v>
      </c>
      <c r="H458" s="11" t="str">
        <f>IFERROR(VLOOKUP(G458,Paramètres!$B$6:$F$8,2,FALSE()),"")</f>
        <v>N/A</v>
      </c>
      <c r="I458" s="13" t="s">
        <v>168</v>
      </c>
      <c r="J458" s="11" t="s">
        <v>48</v>
      </c>
      <c r="K458" s="12">
        <v>46212</v>
      </c>
      <c r="L458" s="12">
        <v>46212</v>
      </c>
      <c r="M458" s="13" t="s">
        <v>42</v>
      </c>
      <c r="N458" s="14" t="s">
        <v>186</v>
      </c>
      <c r="O458" s="12"/>
      <c r="P458" s="11" t="str">
        <f t="shared" si="36"/>
        <v>-</v>
      </c>
      <c r="Q458" s="11" t="str">
        <f t="shared" ca="1" si="37"/>
        <v>-</v>
      </c>
      <c r="R458" s="11" t="str">
        <f>IFERROR(VLOOKUP(G458,Paramètres!$B$6:$F$8,3,FALSE()),"")</f>
        <v>N/A</v>
      </c>
      <c r="S458" s="11" t="str">
        <f t="shared" ca="1" si="38"/>
        <v>-</v>
      </c>
      <c r="T458" s="12"/>
      <c r="U458" s="11" t="str">
        <f t="shared" si="39"/>
        <v>-</v>
      </c>
      <c r="V458" s="11" t="str">
        <f t="shared" si="40"/>
        <v>-</v>
      </c>
      <c r="W458" s="11" t="str">
        <f t="shared" si="41"/>
        <v>Ne nécessite pas de réponse</v>
      </c>
    </row>
    <row r="459" spans="1:23" ht="28.5">
      <c r="A459" s="11">
        <v>443</v>
      </c>
      <c r="B459" s="12">
        <v>46212</v>
      </c>
      <c r="C459" s="13" t="s">
        <v>1202</v>
      </c>
      <c r="D459" s="13" t="s">
        <v>115</v>
      </c>
      <c r="E459" s="13" t="s">
        <v>1203</v>
      </c>
      <c r="F459" s="13" t="s">
        <v>1204</v>
      </c>
      <c r="G459" s="11" t="s">
        <v>53</v>
      </c>
      <c r="H459" s="11" t="str">
        <f>IFERROR(VLOOKUP(G459,Paramètres!$B$6:$F$8,2,FALSE()),"")</f>
        <v>N/A</v>
      </c>
      <c r="I459" s="13" t="s">
        <v>108</v>
      </c>
      <c r="J459" s="11" t="s">
        <v>55</v>
      </c>
      <c r="K459" s="12">
        <v>46212</v>
      </c>
      <c r="L459" s="12">
        <v>46212</v>
      </c>
      <c r="M459" s="13" t="s">
        <v>75</v>
      </c>
      <c r="N459" s="14" t="s">
        <v>57</v>
      </c>
      <c r="O459" s="12"/>
      <c r="P459" s="11" t="str">
        <f t="shared" si="36"/>
        <v>-</v>
      </c>
      <c r="Q459" s="11" t="str">
        <f t="shared" ca="1" si="37"/>
        <v>-</v>
      </c>
      <c r="R459" s="11" t="str">
        <f>IFERROR(VLOOKUP(G459,Paramètres!$B$6:$F$8,3,FALSE()),"")</f>
        <v>N/A</v>
      </c>
      <c r="S459" s="11" t="str">
        <f t="shared" ca="1" si="38"/>
        <v>-</v>
      </c>
      <c r="T459" s="12"/>
      <c r="U459" s="11" t="str">
        <f t="shared" si="39"/>
        <v>-</v>
      </c>
      <c r="V459" s="11" t="str">
        <f t="shared" si="40"/>
        <v>-</v>
      </c>
      <c r="W459" s="11" t="str">
        <f t="shared" si="41"/>
        <v>Ne nécessite pas de réponse</v>
      </c>
    </row>
    <row r="460" spans="1:23">
      <c r="A460" s="11">
        <v>444</v>
      </c>
      <c r="B460" s="12">
        <v>46212</v>
      </c>
      <c r="C460" s="13" t="s">
        <v>1205</v>
      </c>
      <c r="D460" s="13" t="s">
        <v>175</v>
      </c>
      <c r="E460" s="13"/>
      <c r="F460" s="13" t="s">
        <v>1206</v>
      </c>
      <c r="G460" s="11" t="s">
        <v>53</v>
      </c>
      <c r="H460" s="11" t="str">
        <f>IFERROR(VLOOKUP(G460,Paramètres!$B$6:$F$8,2,FALSE()),"")</f>
        <v>N/A</v>
      </c>
      <c r="I460" s="13" t="s">
        <v>120</v>
      </c>
      <c r="J460" s="11" t="s">
        <v>48</v>
      </c>
      <c r="K460" s="12">
        <v>46212</v>
      </c>
      <c r="L460" s="12">
        <v>46212</v>
      </c>
      <c r="M460" s="13" t="s">
        <v>86</v>
      </c>
      <c r="N460" s="14" t="s">
        <v>186</v>
      </c>
      <c r="O460" s="12"/>
      <c r="P460" s="11" t="str">
        <f t="shared" si="36"/>
        <v>-</v>
      </c>
      <c r="Q460" s="11" t="str">
        <f t="shared" ca="1" si="37"/>
        <v>-</v>
      </c>
      <c r="R460" s="11" t="str">
        <f>IFERROR(VLOOKUP(G460,Paramètres!$B$6:$F$8,3,FALSE()),"")</f>
        <v>N/A</v>
      </c>
      <c r="S460" s="11" t="str">
        <f t="shared" ca="1" si="38"/>
        <v>-</v>
      </c>
      <c r="T460" s="12"/>
      <c r="U460" s="11" t="str">
        <f t="shared" si="39"/>
        <v>-</v>
      </c>
      <c r="V460" s="11" t="str">
        <f t="shared" si="40"/>
        <v>-</v>
      </c>
      <c r="W460" s="11" t="str">
        <f t="shared" si="41"/>
        <v>Ne nécessite pas de réponse</v>
      </c>
    </row>
    <row r="461" spans="1:23">
      <c r="A461" s="11">
        <v>445</v>
      </c>
      <c r="B461" s="12">
        <v>46212</v>
      </c>
      <c r="C461" s="13" t="s">
        <v>1207</v>
      </c>
      <c r="D461" s="13" t="s">
        <v>89</v>
      </c>
      <c r="E461" s="13"/>
      <c r="F461" s="13" t="s">
        <v>1208</v>
      </c>
      <c r="G461" s="11" t="s">
        <v>39</v>
      </c>
      <c r="H461" s="11">
        <f>IFERROR(VLOOKUP(G461,Paramètres!$B$6:$F$8,2,FALSE()),"")</f>
        <v>5</v>
      </c>
      <c r="I461" s="13" t="s">
        <v>74</v>
      </c>
      <c r="J461" s="11" t="s">
        <v>41</v>
      </c>
      <c r="K461" s="12">
        <v>46212</v>
      </c>
      <c r="L461" s="12">
        <v>46212</v>
      </c>
      <c r="M461" s="13" t="s">
        <v>86</v>
      </c>
      <c r="N461" s="14" t="s">
        <v>76</v>
      </c>
      <c r="O461" s="12">
        <v>46230</v>
      </c>
      <c r="P461" s="11">
        <f t="shared" si="36"/>
        <v>18</v>
      </c>
      <c r="Q461" s="11" t="str">
        <f t="shared" ca="1" si="37"/>
        <v>-</v>
      </c>
      <c r="R461" s="11">
        <f>IFERROR(VLOOKUP(G461,Paramètres!$B$6:$F$8,3,FALSE()),"")</f>
        <v>2</v>
      </c>
      <c r="S461" s="11" t="str">
        <f t="shared" ca="1" si="38"/>
        <v>-</v>
      </c>
      <c r="T461" s="12">
        <v>46231</v>
      </c>
      <c r="U461" s="11">
        <f t="shared" si="39"/>
        <v>1</v>
      </c>
      <c r="V461" s="11">
        <f t="shared" si="40"/>
        <v>12</v>
      </c>
      <c r="W461" s="11" t="str">
        <f t="shared" si="41"/>
        <v>Hors délais</v>
      </c>
    </row>
    <row r="462" spans="1:23">
      <c r="A462" s="11">
        <v>446</v>
      </c>
      <c r="B462" s="12">
        <v>46212</v>
      </c>
      <c r="C462" s="13" t="s">
        <v>1209</v>
      </c>
      <c r="D462" s="13" t="s">
        <v>345</v>
      </c>
      <c r="E462" s="13" t="s">
        <v>1210</v>
      </c>
      <c r="F462" s="13" t="s">
        <v>1211</v>
      </c>
      <c r="G462" s="11" t="s">
        <v>39</v>
      </c>
      <c r="H462" s="11">
        <f>IFERROR(VLOOKUP(G462,Paramètres!$B$6:$F$8,2,FALSE()),"")</f>
        <v>5</v>
      </c>
      <c r="I462" s="13" t="s">
        <v>232</v>
      </c>
      <c r="J462" s="11" t="s">
        <v>55</v>
      </c>
      <c r="K462" s="12">
        <v>46213</v>
      </c>
      <c r="L462" s="12">
        <v>46216</v>
      </c>
      <c r="M462" s="13" t="s">
        <v>49</v>
      </c>
      <c r="N462" s="14" t="s">
        <v>57</v>
      </c>
      <c r="O462" s="12">
        <v>46220</v>
      </c>
      <c r="P462" s="11">
        <f t="shared" si="36"/>
        <v>8</v>
      </c>
      <c r="Q462" s="11" t="str">
        <f t="shared" ca="1" si="37"/>
        <v>-</v>
      </c>
      <c r="R462" s="11">
        <f>IFERROR(VLOOKUP(G462,Paramètres!$B$6:$F$8,3,FALSE()),"")</f>
        <v>2</v>
      </c>
      <c r="S462" s="11" t="str">
        <f t="shared" ca="1" si="38"/>
        <v>-</v>
      </c>
      <c r="T462" s="12">
        <v>46225</v>
      </c>
      <c r="U462" s="11">
        <f t="shared" si="39"/>
        <v>5</v>
      </c>
      <c r="V462" s="11">
        <f t="shared" si="40"/>
        <v>6</v>
      </c>
      <c r="W462" s="11" t="str">
        <f t="shared" si="41"/>
        <v>Hors délais</v>
      </c>
    </row>
    <row r="463" spans="1:23">
      <c r="A463" s="11">
        <v>447</v>
      </c>
      <c r="B463" s="12">
        <v>46212</v>
      </c>
      <c r="C463" s="13" t="s">
        <v>1212</v>
      </c>
      <c r="D463" s="13" t="s">
        <v>45</v>
      </c>
      <c r="E463" s="13" t="s">
        <v>1213</v>
      </c>
      <c r="F463" s="13" t="s">
        <v>1214</v>
      </c>
      <c r="G463" s="11" t="s">
        <v>39</v>
      </c>
      <c r="H463" s="11">
        <f>IFERROR(VLOOKUP(G463,Paramètres!$B$6:$F$8,2,FALSE()),"")</f>
        <v>5</v>
      </c>
      <c r="I463" s="13" t="s">
        <v>108</v>
      </c>
      <c r="J463" s="11" t="s">
        <v>55</v>
      </c>
      <c r="K463" s="12">
        <v>46212</v>
      </c>
      <c r="L463" s="12">
        <v>46212</v>
      </c>
      <c r="M463" s="13" t="s">
        <v>61</v>
      </c>
      <c r="N463" s="14" t="s">
        <v>102</v>
      </c>
      <c r="O463" s="12">
        <v>46217</v>
      </c>
      <c r="P463" s="11">
        <f t="shared" si="36"/>
        <v>5</v>
      </c>
      <c r="Q463" s="11" t="str">
        <f t="shared" ca="1" si="37"/>
        <v>-</v>
      </c>
      <c r="R463" s="11">
        <f>IFERROR(VLOOKUP(G463,Paramètres!$B$6:$F$8,3,FALSE()),"")</f>
        <v>2</v>
      </c>
      <c r="S463" s="11" t="str">
        <f t="shared" ca="1" si="38"/>
        <v>-</v>
      </c>
      <c r="T463" s="12">
        <v>46218</v>
      </c>
      <c r="U463" s="11">
        <f t="shared" si="39"/>
        <v>1</v>
      </c>
      <c r="V463" s="11">
        <f t="shared" si="40"/>
        <v>-1</v>
      </c>
      <c r="W463" s="11" t="str">
        <f t="shared" si="41"/>
        <v>Dans les délais</v>
      </c>
    </row>
    <row r="464" spans="1:23">
      <c r="A464" s="11">
        <v>448</v>
      </c>
      <c r="B464" s="12">
        <v>46213</v>
      </c>
      <c r="C464" s="13" t="s">
        <v>1215</v>
      </c>
      <c r="D464" s="13" t="s">
        <v>123</v>
      </c>
      <c r="E464" s="13" t="s">
        <v>1216</v>
      </c>
      <c r="F464" s="13" t="s">
        <v>1217</v>
      </c>
      <c r="G464" s="11" t="s">
        <v>39</v>
      </c>
      <c r="H464" s="11">
        <f>IFERROR(VLOOKUP(G464,Paramètres!$B$6:$F$8,2,FALSE()),"")</f>
        <v>5</v>
      </c>
      <c r="I464" s="13" t="s">
        <v>98</v>
      </c>
      <c r="J464" s="11" t="s">
        <v>41</v>
      </c>
      <c r="K464" s="12">
        <v>46213</v>
      </c>
      <c r="L464" s="12">
        <v>46213</v>
      </c>
      <c r="M464" s="13" t="s">
        <v>61</v>
      </c>
      <c r="N464" s="14" t="s">
        <v>87</v>
      </c>
      <c r="O464" s="12">
        <v>46220</v>
      </c>
      <c r="P464" s="11">
        <f t="shared" si="36"/>
        <v>7</v>
      </c>
      <c r="Q464" s="11" t="str">
        <f t="shared" ca="1" si="37"/>
        <v>-</v>
      </c>
      <c r="R464" s="11">
        <f>IFERROR(VLOOKUP(G464,Paramètres!$B$6:$F$8,3,FALSE()),"")</f>
        <v>2</v>
      </c>
      <c r="S464" s="11" t="str">
        <f t="shared" ca="1" si="38"/>
        <v>-</v>
      </c>
      <c r="T464" s="12">
        <v>46223</v>
      </c>
      <c r="U464" s="11">
        <f t="shared" si="39"/>
        <v>3</v>
      </c>
      <c r="V464" s="11">
        <f t="shared" si="40"/>
        <v>3</v>
      </c>
      <c r="W464" s="11" t="str">
        <f t="shared" si="41"/>
        <v>Hors délais</v>
      </c>
    </row>
    <row r="465" spans="1:23">
      <c r="A465" s="11">
        <v>449</v>
      </c>
      <c r="B465" s="12">
        <v>46213</v>
      </c>
      <c r="C465" s="13" t="s">
        <v>1218</v>
      </c>
      <c r="D465" s="13" t="s">
        <v>118</v>
      </c>
      <c r="E465" s="13"/>
      <c r="F465" s="13" t="s">
        <v>1219</v>
      </c>
      <c r="G465" s="11" t="s">
        <v>84</v>
      </c>
      <c r="H465" s="11">
        <f>IFERROR(VLOOKUP(G465,Paramètres!$B$6:$F$8,2,FALSE()),"")</f>
        <v>5</v>
      </c>
      <c r="I465" s="13" t="s">
        <v>130</v>
      </c>
      <c r="J465" s="11" t="s">
        <v>48</v>
      </c>
      <c r="K465" s="12">
        <v>46216</v>
      </c>
      <c r="L465" s="12">
        <v>46217</v>
      </c>
      <c r="M465" s="13" t="s">
        <v>86</v>
      </c>
      <c r="N465" s="14" t="s">
        <v>50</v>
      </c>
      <c r="O465" s="12">
        <v>46226</v>
      </c>
      <c r="P465" s="11">
        <f t="shared" ref="P465:P528" si="42">IF(G465="Ne nécessite pas de réponse","-",IF(AND(ISNUMBER(B465),ISNUMBER(O465)),O465-B465,""))</f>
        <v>13</v>
      </c>
      <c r="Q465" s="11" t="str">
        <f t="shared" ref="Q465:Q528" ca="1" si="43">IF(G465="Ne nécessite pas de réponse","-",IF(O465&lt;&gt;"","-",IF(OR(B465="",H465="",NOT(ISNUMBER(H465)),H465=0),"",IF((TODAY()-B465)/H465&lt;=0.5,"VERT",IF((TODAY()-B465)/H465&lt;=0.8,"JAUNE","ROUGE")))))</f>
        <v>-</v>
      </c>
      <c r="R465" s="11">
        <f>IFERROR(VLOOKUP(G465,Paramètres!$B$6:$F$8,3,FALSE()),"")</f>
        <v>2</v>
      </c>
      <c r="S465" s="11" t="str">
        <f t="shared" ref="S465:S528" ca="1" si="44">IF(G465="Ne nécessite pas de réponse","-",IF(O465="","",IF(T465&lt;&gt;"","-",IF(OR(R465="",NOT(ISNUMBER(R465)),R465=0),"",IF((TODAY()-O465)/R465&lt;=0.5,"VERT",IF((TODAY()-O465)/R465&lt;=0.8,"JAUNE","ROUGE"))))))</f>
        <v>-</v>
      </c>
      <c r="T465" s="12">
        <v>46230</v>
      </c>
      <c r="U465" s="11">
        <f t="shared" ref="U465:U528" si="45">IF(G465="Ne nécessite pas de réponse","-",IF(AND(ISNUMBER(O465),ISNUMBER(T465)),T465-O465,""))</f>
        <v>4</v>
      </c>
      <c r="V465" s="11">
        <f t="shared" ref="V465:V528" si="46">IF(G465="Ne nécessite pas de réponse","-",IF(AND(ISNUMBER(T465),ISNUMBER(B465),ISNUMBER(H465),ISNUMBER(R465)),T465-(B465+H465+R465),""))</f>
        <v>10</v>
      </c>
      <c r="W465" s="11" t="str">
        <f t="shared" ref="W465:W528" si="47">IF(G465="Ne nécessite pas de réponse","Ne nécessite pas de réponse",IF(T465="","",IF(V465&lt;=0,"Dans les délais","Hors délais")))</f>
        <v>Hors délais</v>
      </c>
    </row>
    <row r="466" spans="1:23">
      <c r="A466" s="11">
        <v>450</v>
      </c>
      <c r="B466" s="12">
        <v>46213</v>
      </c>
      <c r="C466" s="13" t="s">
        <v>1220</v>
      </c>
      <c r="D466" s="13" t="s">
        <v>68</v>
      </c>
      <c r="E466" s="13"/>
      <c r="F466" s="13" t="s">
        <v>1221</v>
      </c>
      <c r="G466" s="11" t="s">
        <v>39</v>
      </c>
      <c r="H466" s="11">
        <f>IFERROR(VLOOKUP(G466,Paramètres!$B$6:$F$8,2,FALSE()),"")</f>
        <v>5</v>
      </c>
      <c r="I466" s="13" t="s">
        <v>185</v>
      </c>
      <c r="J466" s="11" t="s">
        <v>48</v>
      </c>
      <c r="K466" s="12">
        <v>46216</v>
      </c>
      <c r="L466" s="12">
        <v>46216</v>
      </c>
      <c r="M466" s="13" t="s">
        <v>61</v>
      </c>
      <c r="N466" s="14" t="s">
        <v>121</v>
      </c>
      <c r="O466" s="12">
        <v>46224</v>
      </c>
      <c r="P466" s="11">
        <f t="shared" si="42"/>
        <v>11</v>
      </c>
      <c r="Q466" s="11" t="str">
        <f t="shared" ca="1" si="43"/>
        <v>-</v>
      </c>
      <c r="R466" s="11">
        <f>IFERROR(VLOOKUP(G466,Paramètres!$B$6:$F$8,3,FALSE()),"")</f>
        <v>2</v>
      </c>
      <c r="S466" s="11" t="str">
        <f t="shared" ca="1" si="44"/>
        <v>-</v>
      </c>
      <c r="T466" s="12">
        <v>46225</v>
      </c>
      <c r="U466" s="11">
        <f t="shared" si="45"/>
        <v>1</v>
      </c>
      <c r="V466" s="11">
        <f t="shared" si="46"/>
        <v>5</v>
      </c>
      <c r="W466" s="11" t="str">
        <f t="shared" si="47"/>
        <v>Hors délais</v>
      </c>
    </row>
    <row r="467" spans="1:23">
      <c r="A467" s="11">
        <v>451</v>
      </c>
      <c r="B467" s="12">
        <v>46213</v>
      </c>
      <c r="C467" s="13" t="s">
        <v>1222</v>
      </c>
      <c r="D467" s="13" t="s">
        <v>100</v>
      </c>
      <c r="E467" s="13" t="s">
        <v>1223</v>
      </c>
      <c r="F467" s="13" t="s">
        <v>1224</v>
      </c>
      <c r="G467" s="11" t="s">
        <v>39</v>
      </c>
      <c r="H467" s="11">
        <f>IFERROR(VLOOKUP(G467,Paramètres!$B$6:$F$8,2,FALSE()),"")</f>
        <v>5</v>
      </c>
      <c r="I467" s="13" t="s">
        <v>190</v>
      </c>
      <c r="J467" s="11" t="s">
        <v>48</v>
      </c>
      <c r="K467" s="12">
        <v>46213</v>
      </c>
      <c r="L467" s="12">
        <v>46216</v>
      </c>
      <c r="M467" s="13" t="s">
        <v>42</v>
      </c>
      <c r="N467" s="14" t="s">
        <v>121</v>
      </c>
      <c r="O467" s="12">
        <v>46219</v>
      </c>
      <c r="P467" s="11">
        <f t="shared" si="42"/>
        <v>6</v>
      </c>
      <c r="Q467" s="11" t="str">
        <f t="shared" ca="1" si="43"/>
        <v>-</v>
      </c>
      <c r="R467" s="11">
        <f>IFERROR(VLOOKUP(G467,Paramètres!$B$6:$F$8,3,FALSE()),"")</f>
        <v>2</v>
      </c>
      <c r="S467" s="11" t="str">
        <f t="shared" ca="1" si="44"/>
        <v>-</v>
      </c>
      <c r="T467" s="12">
        <v>46219</v>
      </c>
      <c r="U467" s="11">
        <f t="shared" si="45"/>
        <v>0</v>
      </c>
      <c r="V467" s="11">
        <f t="shared" si="46"/>
        <v>-1</v>
      </c>
      <c r="W467" s="11" t="str">
        <f t="shared" si="47"/>
        <v>Dans les délais</v>
      </c>
    </row>
    <row r="468" spans="1:23">
      <c r="A468" s="11">
        <v>452</v>
      </c>
      <c r="B468" s="12">
        <v>46213</v>
      </c>
      <c r="C468" s="13" t="s">
        <v>1225</v>
      </c>
      <c r="D468" s="13" t="s">
        <v>248</v>
      </c>
      <c r="E468" s="13" t="s">
        <v>1226</v>
      </c>
      <c r="F468" s="13" t="s">
        <v>1227</v>
      </c>
      <c r="G468" s="11" t="s">
        <v>53</v>
      </c>
      <c r="H468" s="11" t="str">
        <f>IFERROR(VLOOKUP(G468,Paramètres!$B$6:$F$8,2,FALSE()),"")</f>
        <v>N/A</v>
      </c>
      <c r="I468" s="13" t="s">
        <v>240</v>
      </c>
      <c r="J468" s="11" t="s">
        <v>55</v>
      </c>
      <c r="K468" s="12">
        <v>46213</v>
      </c>
      <c r="L468" s="12">
        <v>46213</v>
      </c>
      <c r="M468" s="13"/>
      <c r="N468" s="14" t="s">
        <v>57</v>
      </c>
      <c r="O468" s="12"/>
      <c r="P468" s="11" t="str">
        <f t="shared" si="42"/>
        <v>-</v>
      </c>
      <c r="Q468" s="11" t="str">
        <f t="shared" ca="1" si="43"/>
        <v>-</v>
      </c>
      <c r="R468" s="11" t="str">
        <f>IFERROR(VLOOKUP(G468,Paramètres!$B$6:$F$8,3,FALSE()),"")</f>
        <v>N/A</v>
      </c>
      <c r="S468" s="11" t="str">
        <f t="shared" ca="1" si="44"/>
        <v>-</v>
      </c>
      <c r="T468" s="12"/>
      <c r="U468" s="11" t="str">
        <f t="shared" si="45"/>
        <v>-</v>
      </c>
      <c r="V468" s="11" t="str">
        <f t="shared" si="46"/>
        <v>-</v>
      </c>
      <c r="W468" s="11" t="str">
        <f t="shared" si="47"/>
        <v>Ne nécessite pas de réponse</v>
      </c>
    </row>
    <row r="469" spans="1:23">
      <c r="A469" s="11">
        <v>453</v>
      </c>
      <c r="B469" s="12">
        <v>46213</v>
      </c>
      <c r="C469" s="13" t="s">
        <v>1228</v>
      </c>
      <c r="D469" s="13" t="s">
        <v>100</v>
      </c>
      <c r="E469" s="13"/>
      <c r="F469" s="13" t="s">
        <v>1229</v>
      </c>
      <c r="G469" s="11" t="s">
        <v>39</v>
      </c>
      <c r="H469" s="11">
        <f>IFERROR(VLOOKUP(G469,Paramètres!$B$6:$F$8,2,FALSE()),"")</f>
        <v>5</v>
      </c>
      <c r="I469" s="13" t="s">
        <v>232</v>
      </c>
      <c r="J469" s="11" t="s">
        <v>55</v>
      </c>
      <c r="K469" s="12">
        <v>46213</v>
      </c>
      <c r="L469" s="12">
        <v>46213</v>
      </c>
      <c r="M469" s="13"/>
      <c r="N469" s="14" t="s">
        <v>57</v>
      </c>
      <c r="O469" s="12">
        <v>46218</v>
      </c>
      <c r="P469" s="11">
        <f t="shared" si="42"/>
        <v>5</v>
      </c>
      <c r="Q469" s="11" t="str">
        <f t="shared" ca="1" si="43"/>
        <v>-</v>
      </c>
      <c r="R469" s="11">
        <f>IFERROR(VLOOKUP(G469,Paramètres!$B$6:$F$8,3,FALSE()),"")</f>
        <v>2</v>
      </c>
      <c r="S469" s="11" t="str">
        <f t="shared" ca="1" si="44"/>
        <v>-</v>
      </c>
      <c r="T469" s="12">
        <v>46219</v>
      </c>
      <c r="U469" s="11">
        <f t="shared" si="45"/>
        <v>1</v>
      </c>
      <c r="V469" s="11">
        <f t="shared" si="46"/>
        <v>-1</v>
      </c>
      <c r="W469" s="11" t="str">
        <f t="shared" si="47"/>
        <v>Dans les délais</v>
      </c>
    </row>
    <row r="470" spans="1:23">
      <c r="A470" s="11">
        <v>454</v>
      </c>
      <c r="B470" s="12">
        <v>46216</v>
      </c>
      <c r="C470" s="13" t="s">
        <v>1230</v>
      </c>
      <c r="D470" s="13" t="s">
        <v>178</v>
      </c>
      <c r="E470" s="13"/>
      <c r="F470" s="13" t="s">
        <v>1231</v>
      </c>
      <c r="G470" s="11" t="s">
        <v>39</v>
      </c>
      <c r="H470" s="11">
        <f>IFERROR(VLOOKUP(G470,Paramètres!$B$6:$F$8,2,FALSE()),"")</f>
        <v>5</v>
      </c>
      <c r="I470" s="13" t="s">
        <v>85</v>
      </c>
      <c r="J470" s="11" t="s">
        <v>41</v>
      </c>
      <c r="K470" s="12">
        <v>46216</v>
      </c>
      <c r="L470" s="12">
        <v>46217</v>
      </c>
      <c r="M470" s="13" t="s">
        <v>42</v>
      </c>
      <c r="N470" s="14" t="s">
        <v>87</v>
      </c>
      <c r="O470" s="12">
        <v>46223</v>
      </c>
      <c r="P470" s="11">
        <f t="shared" si="42"/>
        <v>7</v>
      </c>
      <c r="Q470" s="11" t="str">
        <f t="shared" ca="1" si="43"/>
        <v>-</v>
      </c>
      <c r="R470" s="11">
        <f>IFERROR(VLOOKUP(G470,Paramètres!$B$6:$F$8,3,FALSE()),"")</f>
        <v>2</v>
      </c>
      <c r="S470" s="11" t="str">
        <f t="shared" ca="1" si="44"/>
        <v>-</v>
      </c>
      <c r="T470" s="12">
        <v>46225</v>
      </c>
      <c r="U470" s="11">
        <f t="shared" si="45"/>
        <v>2</v>
      </c>
      <c r="V470" s="11">
        <f t="shared" si="46"/>
        <v>2</v>
      </c>
      <c r="W470" s="11" t="str">
        <f t="shared" si="47"/>
        <v>Hors délais</v>
      </c>
    </row>
    <row r="471" spans="1:23">
      <c r="A471" s="11">
        <v>455</v>
      </c>
      <c r="B471" s="12">
        <v>46216</v>
      </c>
      <c r="C471" s="13" t="s">
        <v>1232</v>
      </c>
      <c r="D471" s="13" t="s">
        <v>175</v>
      </c>
      <c r="E471" s="13" t="s">
        <v>1233</v>
      </c>
      <c r="F471" s="13" t="s">
        <v>1234</v>
      </c>
      <c r="G471" s="11" t="s">
        <v>53</v>
      </c>
      <c r="H471" s="11" t="str">
        <f>IFERROR(VLOOKUP(G471,Paramètres!$B$6:$F$8,2,FALSE()),"")</f>
        <v>N/A</v>
      </c>
      <c r="I471" s="13" t="s">
        <v>91</v>
      </c>
      <c r="J471" s="11" t="s">
        <v>41</v>
      </c>
      <c r="K471" s="12">
        <v>46216</v>
      </c>
      <c r="L471" s="12">
        <v>46217</v>
      </c>
      <c r="M471" s="13" t="s">
        <v>56</v>
      </c>
      <c r="N471" s="14" t="s">
        <v>43</v>
      </c>
      <c r="O471" s="12"/>
      <c r="P471" s="11" t="str">
        <f t="shared" si="42"/>
        <v>-</v>
      </c>
      <c r="Q471" s="11" t="str">
        <f t="shared" ca="1" si="43"/>
        <v>-</v>
      </c>
      <c r="R471" s="11" t="str">
        <f>IFERROR(VLOOKUP(G471,Paramètres!$B$6:$F$8,3,FALSE()),"")</f>
        <v>N/A</v>
      </c>
      <c r="S471" s="11" t="str">
        <f t="shared" ca="1" si="44"/>
        <v>-</v>
      </c>
      <c r="T471" s="12"/>
      <c r="U471" s="11" t="str">
        <f t="shared" si="45"/>
        <v>-</v>
      </c>
      <c r="V471" s="11" t="str">
        <f t="shared" si="46"/>
        <v>-</v>
      </c>
      <c r="W471" s="11" t="str">
        <f t="shared" si="47"/>
        <v>Ne nécessite pas de réponse</v>
      </c>
    </row>
    <row r="472" spans="1:23">
      <c r="A472" s="11">
        <v>456</v>
      </c>
      <c r="B472" s="12">
        <v>46216</v>
      </c>
      <c r="C472" s="13" t="s">
        <v>1235</v>
      </c>
      <c r="D472" s="13" t="s">
        <v>68</v>
      </c>
      <c r="E472" s="13" t="s">
        <v>1236</v>
      </c>
      <c r="F472" s="13" t="s">
        <v>1237</v>
      </c>
      <c r="G472" s="11" t="s">
        <v>39</v>
      </c>
      <c r="H472" s="11">
        <f>IFERROR(VLOOKUP(G472,Paramètres!$B$6:$F$8,2,FALSE()),"")</f>
        <v>5</v>
      </c>
      <c r="I472" s="13" t="s">
        <v>228</v>
      </c>
      <c r="J472" s="11" t="s">
        <v>55</v>
      </c>
      <c r="K472" s="12">
        <v>46216</v>
      </c>
      <c r="L472" s="12">
        <v>46217</v>
      </c>
      <c r="M472" s="13" t="s">
        <v>42</v>
      </c>
      <c r="N472" s="14" t="s">
        <v>66</v>
      </c>
      <c r="O472" s="12">
        <v>46223</v>
      </c>
      <c r="P472" s="11">
        <f t="shared" si="42"/>
        <v>7</v>
      </c>
      <c r="Q472" s="11" t="str">
        <f t="shared" ca="1" si="43"/>
        <v>-</v>
      </c>
      <c r="R472" s="11">
        <f>IFERROR(VLOOKUP(G472,Paramètres!$B$6:$F$8,3,FALSE()),"")</f>
        <v>2</v>
      </c>
      <c r="S472" s="11" t="str">
        <f t="shared" ca="1" si="44"/>
        <v>-</v>
      </c>
      <c r="T472" s="12">
        <v>46225</v>
      </c>
      <c r="U472" s="11">
        <f t="shared" si="45"/>
        <v>2</v>
      </c>
      <c r="V472" s="11">
        <f t="shared" si="46"/>
        <v>2</v>
      </c>
      <c r="W472" s="11" t="str">
        <f t="shared" si="47"/>
        <v>Hors délais</v>
      </c>
    </row>
    <row r="473" spans="1:23">
      <c r="A473" s="11">
        <v>457</v>
      </c>
      <c r="B473" s="12">
        <v>46216</v>
      </c>
      <c r="C473" s="13" t="s">
        <v>1238</v>
      </c>
      <c r="D473" s="13" t="s">
        <v>345</v>
      </c>
      <c r="E473" s="13" t="s">
        <v>1239</v>
      </c>
      <c r="F473" s="13" t="s">
        <v>1240</v>
      </c>
      <c r="G473" s="11" t="s">
        <v>39</v>
      </c>
      <c r="H473" s="11">
        <f>IFERROR(VLOOKUP(G473,Paramètres!$B$6:$F$8,2,FALSE()),"")</f>
        <v>5</v>
      </c>
      <c r="I473" s="13" t="s">
        <v>426</v>
      </c>
      <c r="J473" s="11" t="s">
        <v>41</v>
      </c>
      <c r="K473" s="12">
        <v>46216</v>
      </c>
      <c r="L473" s="12">
        <v>46217</v>
      </c>
      <c r="M473" s="13" t="s">
        <v>49</v>
      </c>
      <c r="N473" s="14" t="s">
        <v>87</v>
      </c>
      <c r="O473" s="12">
        <v>46219</v>
      </c>
      <c r="P473" s="11">
        <f t="shared" si="42"/>
        <v>3</v>
      </c>
      <c r="Q473" s="11" t="str">
        <f t="shared" ca="1" si="43"/>
        <v>-</v>
      </c>
      <c r="R473" s="11">
        <f>IFERROR(VLOOKUP(G473,Paramètres!$B$6:$F$8,3,FALSE()),"")</f>
        <v>2</v>
      </c>
      <c r="S473" s="11" t="str">
        <f t="shared" ca="1" si="44"/>
        <v>-</v>
      </c>
      <c r="T473" s="12">
        <v>46223</v>
      </c>
      <c r="U473" s="11">
        <f t="shared" si="45"/>
        <v>4</v>
      </c>
      <c r="V473" s="11">
        <f t="shared" si="46"/>
        <v>0</v>
      </c>
      <c r="W473" s="11" t="str">
        <f t="shared" si="47"/>
        <v>Dans les délais</v>
      </c>
    </row>
    <row r="474" spans="1:23">
      <c r="A474" s="11">
        <v>458</v>
      </c>
      <c r="B474" s="12">
        <v>46216</v>
      </c>
      <c r="C474" s="13" t="s">
        <v>1241</v>
      </c>
      <c r="D474" s="13" t="s">
        <v>230</v>
      </c>
      <c r="E474" s="13"/>
      <c r="F474" s="13" t="s">
        <v>1242</v>
      </c>
      <c r="G474" s="11" t="s">
        <v>39</v>
      </c>
      <c r="H474" s="11">
        <f>IFERROR(VLOOKUP(G474,Paramètres!$B$6:$F$8,2,FALSE()),"")</f>
        <v>5</v>
      </c>
      <c r="I474" s="13" t="s">
        <v>232</v>
      </c>
      <c r="J474" s="11" t="s">
        <v>55</v>
      </c>
      <c r="K474" s="12">
        <v>46216</v>
      </c>
      <c r="L474" s="12">
        <v>46216</v>
      </c>
      <c r="M474" s="13" t="s">
        <v>42</v>
      </c>
      <c r="N474" s="14" t="s">
        <v>66</v>
      </c>
      <c r="O474" s="12">
        <v>46225</v>
      </c>
      <c r="P474" s="11">
        <f t="shared" si="42"/>
        <v>9</v>
      </c>
      <c r="Q474" s="11" t="str">
        <f t="shared" ca="1" si="43"/>
        <v>-</v>
      </c>
      <c r="R474" s="11">
        <f>IFERROR(VLOOKUP(G474,Paramètres!$B$6:$F$8,3,FALSE()),"")</f>
        <v>2</v>
      </c>
      <c r="S474" s="11" t="str">
        <f t="shared" ca="1" si="44"/>
        <v>-</v>
      </c>
      <c r="T474" s="12">
        <v>46226</v>
      </c>
      <c r="U474" s="11">
        <f t="shared" si="45"/>
        <v>1</v>
      </c>
      <c r="V474" s="11">
        <f t="shared" si="46"/>
        <v>3</v>
      </c>
      <c r="W474" s="11" t="str">
        <f t="shared" si="47"/>
        <v>Hors délais</v>
      </c>
    </row>
    <row r="475" spans="1:23">
      <c r="A475" s="11">
        <v>459</v>
      </c>
      <c r="B475" s="12">
        <v>46216</v>
      </c>
      <c r="C475" s="13" t="s">
        <v>1243</v>
      </c>
      <c r="D475" s="13" t="s">
        <v>96</v>
      </c>
      <c r="E475" s="13" t="s">
        <v>1244</v>
      </c>
      <c r="F475" s="13" t="s">
        <v>1245</v>
      </c>
      <c r="G475" s="11" t="s">
        <v>39</v>
      </c>
      <c r="H475" s="11">
        <f>IFERROR(VLOOKUP(G475,Paramètres!$B$6:$F$8,2,FALSE()),"")</f>
        <v>5</v>
      </c>
      <c r="I475" s="13" t="s">
        <v>94</v>
      </c>
      <c r="J475" s="11" t="s">
        <v>55</v>
      </c>
      <c r="K475" s="12">
        <v>46216</v>
      </c>
      <c r="L475" s="12">
        <v>46216</v>
      </c>
      <c r="M475" s="13" t="s">
        <v>42</v>
      </c>
      <c r="N475" s="14" t="s">
        <v>102</v>
      </c>
      <c r="O475" s="12">
        <v>46227</v>
      </c>
      <c r="P475" s="11">
        <f t="shared" si="42"/>
        <v>11</v>
      </c>
      <c r="Q475" s="11" t="str">
        <f t="shared" ca="1" si="43"/>
        <v>-</v>
      </c>
      <c r="R475" s="11">
        <f>IFERROR(VLOOKUP(G475,Paramètres!$B$6:$F$8,3,FALSE()),"")</f>
        <v>2</v>
      </c>
      <c r="S475" s="11" t="str">
        <f t="shared" ca="1" si="44"/>
        <v>-</v>
      </c>
      <c r="T475" s="12">
        <v>46231</v>
      </c>
      <c r="U475" s="11">
        <f t="shared" si="45"/>
        <v>4</v>
      </c>
      <c r="V475" s="11">
        <f t="shared" si="46"/>
        <v>8</v>
      </c>
      <c r="W475" s="11" t="str">
        <f t="shared" si="47"/>
        <v>Hors délais</v>
      </c>
    </row>
    <row r="476" spans="1:23">
      <c r="A476" s="11">
        <v>460</v>
      </c>
      <c r="B476" s="12">
        <v>46216</v>
      </c>
      <c r="C476" s="13" t="s">
        <v>1246</v>
      </c>
      <c r="D476" s="13" t="s">
        <v>45</v>
      </c>
      <c r="E476" s="13"/>
      <c r="F476" s="13" t="s">
        <v>1247</v>
      </c>
      <c r="G476" s="11" t="s">
        <v>39</v>
      </c>
      <c r="H476" s="11">
        <f>IFERROR(VLOOKUP(G476,Paramètres!$B$6:$F$8,2,FALSE()),"")</f>
        <v>5</v>
      </c>
      <c r="I476" s="13" t="s">
        <v>240</v>
      </c>
      <c r="J476" s="11" t="s">
        <v>55</v>
      </c>
      <c r="K476" s="12">
        <v>46216</v>
      </c>
      <c r="L476" s="12">
        <v>46216</v>
      </c>
      <c r="M476" s="13" t="s">
        <v>42</v>
      </c>
      <c r="N476" s="14" t="s">
        <v>66</v>
      </c>
      <c r="O476" s="12">
        <v>46220</v>
      </c>
      <c r="P476" s="11">
        <f t="shared" si="42"/>
        <v>4</v>
      </c>
      <c r="Q476" s="11" t="str">
        <f t="shared" ca="1" si="43"/>
        <v>-</v>
      </c>
      <c r="R476" s="11">
        <f>IFERROR(VLOOKUP(G476,Paramètres!$B$6:$F$8,3,FALSE()),"")</f>
        <v>2</v>
      </c>
      <c r="S476" s="11" t="str">
        <f t="shared" ca="1" si="44"/>
        <v>-</v>
      </c>
      <c r="T476" s="12">
        <v>46220</v>
      </c>
      <c r="U476" s="11">
        <f t="shared" si="45"/>
        <v>0</v>
      </c>
      <c r="V476" s="11">
        <f t="shared" si="46"/>
        <v>-3</v>
      </c>
      <c r="W476" s="11" t="str">
        <f t="shared" si="47"/>
        <v>Dans les délais</v>
      </c>
    </row>
    <row r="477" spans="1:23">
      <c r="A477" s="11">
        <v>461</v>
      </c>
      <c r="B477" s="12">
        <v>46216</v>
      </c>
      <c r="C477" s="13" t="s">
        <v>1248</v>
      </c>
      <c r="D477" s="13" t="s">
        <v>59</v>
      </c>
      <c r="E477" s="13" t="s">
        <v>1249</v>
      </c>
      <c r="F477" s="13" t="s">
        <v>1250</v>
      </c>
      <c r="G477" s="11" t="s">
        <v>39</v>
      </c>
      <c r="H477" s="11">
        <f>IFERROR(VLOOKUP(G477,Paramètres!$B$6:$F$8,2,FALSE()),"")</f>
        <v>5</v>
      </c>
      <c r="I477" s="13" t="s">
        <v>228</v>
      </c>
      <c r="J477" s="11" t="s">
        <v>55</v>
      </c>
      <c r="K477" s="12">
        <v>46216</v>
      </c>
      <c r="L477" s="12">
        <v>46216</v>
      </c>
      <c r="M477" s="13" t="s">
        <v>86</v>
      </c>
      <c r="N477" s="14" t="s">
        <v>102</v>
      </c>
      <c r="O477" s="12">
        <v>46223</v>
      </c>
      <c r="P477" s="11">
        <f t="shared" si="42"/>
        <v>7</v>
      </c>
      <c r="Q477" s="11" t="str">
        <f t="shared" ca="1" si="43"/>
        <v>-</v>
      </c>
      <c r="R477" s="11">
        <f>IFERROR(VLOOKUP(G477,Paramètres!$B$6:$F$8,3,FALSE()),"")</f>
        <v>2</v>
      </c>
      <c r="S477" s="11" t="str">
        <f t="shared" ca="1" si="44"/>
        <v>-</v>
      </c>
      <c r="T477" s="12">
        <v>46225</v>
      </c>
      <c r="U477" s="11">
        <f t="shared" si="45"/>
        <v>2</v>
      </c>
      <c r="V477" s="11">
        <f t="shared" si="46"/>
        <v>2</v>
      </c>
      <c r="W477" s="11" t="str">
        <f t="shared" si="47"/>
        <v>Hors délais</v>
      </c>
    </row>
    <row r="478" spans="1:23">
      <c r="A478" s="11">
        <v>462</v>
      </c>
      <c r="B478" s="12">
        <v>46217</v>
      </c>
      <c r="C478" s="13" t="s">
        <v>1251</v>
      </c>
      <c r="D478" s="13" t="s">
        <v>37</v>
      </c>
      <c r="E478" s="13" t="s">
        <v>1252</v>
      </c>
      <c r="F478" s="13" t="s">
        <v>1253</v>
      </c>
      <c r="G478" s="11" t="s">
        <v>39</v>
      </c>
      <c r="H478" s="11">
        <f>IFERROR(VLOOKUP(G478,Paramètres!$B$6:$F$8,2,FALSE()),"")</f>
        <v>5</v>
      </c>
      <c r="I478" s="13" t="s">
        <v>130</v>
      </c>
      <c r="J478" s="11" t="s">
        <v>48</v>
      </c>
      <c r="K478" s="12">
        <v>46217</v>
      </c>
      <c r="L478" s="12">
        <v>46218</v>
      </c>
      <c r="M478" s="13" t="s">
        <v>61</v>
      </c>
      <c r="N478" s="14" t="s">
        <v>121</v>
      </c>
      <c r="O478" s="12">
        <v>46220</v>
      </c>
      <c r="P478" s="11">
        <f t="shared" si="42"/>
        <v>3</v>
      </c>
      <c r="Q478" s="11" t="str">
        <f t="shared" ca="1" si="43"/>
        <v>-</v>
      </c>
      <c r="R478" s="11">
        <f>IFERROR(VLOOKUP(G478,Paramètres!$B$6:$F$8,3,FALSE()),"")</f>
        <v>2</v>
      </c>
      <c r="S478" s="11" t="str">
        <f t="shared" ca="1" si="44"/>
        <v>-</v>
      </c>
      <c r="T478" s="12">
        <v>46224</v>
      </c>
      <c r="U478" s="11">
        <f t="shared" si="45"/>
        <v>4</v>
      </c>
      <c r="V478" s="11">
        <f t="shared" si="46"/>
        <v>0</v>
      </c>
      <c r="W478" s="11" t="str">
        <f t="shared" si="47"/>
        <v>Dans les délais</v>
      </c>
    </row>
    <row r="479" spans="1:23">
      <c r="A479" s="11">
        <v>463</v>
      </c>
      <c r="B479" s="12">
        <v>46218</v>
      </c>
      <c r="C479" s="13" t="s">
        <v>1254</v>
      </c>
      <c r="D479" s="13" t="s">
        <v>345</v>
      </c>
      <c r="E479" s="13" t="s">
        <v>1255</v>
      </c>
      <c r="F479" s="13" t="s">
        <v>1256</v>
      </c>
      <c r="G479" s="11" t="s">
        <v>84</v>
      </c>
      <c r="H479" s="11">
        <f>IFERROR(VLOOKUP(G479,Paramètres!$B$6:$F$8,2,FALSE()),"")</f>
        <v>5</v>
      </c>
      <c r="I479" s="13" t="s">
        <v>240</v>
      </c>
      <c r="J479" s="11" t="s">
        <v>55</v>
      </c>
      <c r="K479" s="12">
        <v>46218</v>
      </c>
      <c r="L479" s="12">
        <v>46218</v>
      </c>
      <c r="M479" s="13" t="s">
        <v>56</v>
      </c>
      <c r="N479" s="14" t="s">
        <v>66</v>
      </c>
      <c r="O479" s="12">
        <v>46223</v>
      </c>
      <c r="P479" s="11">
        <f t="shared" si="42"/>
        <v>5</v>
      </c>
      <c r="Q479" s="11" t="str">
        <f t="shared" ca="1" si="43"/>
        <v>-</v>
      </c>
      <c r="R479" s="11">
        <f>IFERROR(VLOOKUP(G479,Paramètres!$B$6:$F$8,3,FALSE()),"")</f>
        <v>2</v>
      </c>
      <c r="S479" s="11" t="str">
        <f t="shared" ca="1" si="44"/>
        <v>-</v>
      </c>
      <c r="T479" s="12">
        <v>46223</v>
      </c>
      <c r="U479" s="11">
        <f t="shared" si="45"/>
        <v>0</v>
      </c>
      <c r="V479" s="11">
        <f t="shared" si="46"/>
        <v>-2</v>
      </c>
      <c r="W479" s="11" t="str">
        <f t="shared" si="47"/>
        <v>Dans les délais</v>
      </c>
    </row>
    <row r="480" spans="1:23">
      <c r="A480" s="11">
        <v>464</v>
      </c>
      <c r="B480" s="12">
        <v>46218</v>
      </c>
      <c r="C480" s="13" t="s">
        <v>1257</v>
      </c>
      <c r="D480" s="13" t="s">
        <v>89</v>
      </c>
      <c r="E480" s="13"/>
      <c r="F480" s="13" t="s">
        <v>1258</v>
      </c>
      <c r="G480" s="11" t="s">
        <v>53</v>
      </c>
      <c r="H480" s="11" t="str">
        <f>IFERROR(VLOOKUP(G480,Paramètres!$B$6:$F$8,2,FALSE()),"")</f>
        <v>N/A</v>
      </c>
      <c r="I480" s="13" t="s">
        <v>40</v>
      </c>
      <c r="J480" s="11" t="s">
        <v>41</v>
      </c>
      <c r="K480" s="12">
        <v>46218</v>
      </c>
      <c r="L480" s="12">
        <v>46219</v>
      </c>
      <c r="M480" s="13" t="s">
        <v>61</v>
      </c>
      <c r="N480" s="14" t="s">
        <v>87</v>
      </c>
      <c r="O480" s="12"/>
      <c r="P480" s="11" t="str">
        <f t="shared" si="42"/>
        <v>-</v>
      </c>
      <c r="Q480" s="11" t="str">
        <f t="shared" ca="1" si="43"/>
        <v>-</v>
      </c>
      <c r="R480" s="11" t="str">
        <f>IFERROR(VLOOKUP(G480,Paramètres!$B$6:$F$8,3,FALSE()),"")</f>
        <v>N/A</v>
      </c>
      <c r="S480" s="11" t="str">
        <f t="shared" ca="1" si="44"/>
        <v>-</v>
      </c>
      <c r="T480" s="12"/>
      <c r="U480" s="11" t="str">
        <f t="shared" si="45"/>
        <v>-</v>
      </c>
      <c r="V480" s="11" t="str">
        <f t="shared" si="46"/>
        <v>-</v>
      </c>
      <c r="W480" s="11" t="str">
        <f t="shared" si="47"/>
        <v>Ne nécessite pas de réponse</v>
      </c>
    </row>
    <row r="481" spans="1:23">
      <c r="A481" s="11">
        <v>465</v>
      </c>
      <c r="B481" s="12">
        <v>46218</v>
      </c>
      <c r="C481" s="13" t="s">
        <v>1259</v>
      </c>
      <c r="D481" s="13" t="s">
        <v>145</v>
      </c>
      <c r="E481" s="13"/>
      <c r="F481" s="13" t="s">
        <v>1260</v>
      </c>
      <c r="G481" s="11" t="s">
        <v>84</v>
      </c>
      <c r="H481" s="11">
        <f>IFERROR(VLOOKUP(G481,Paramètres!$B$6:$F$8,2,FALSE()),"")</f>
        <v>5</v>
      </c>
      <c r="I481" s="13" t="s">
        <v>190</v>
      </c>
      <c r="J481" s="11" t="s">
        <v>48</v>
      </c>
      <c r="K481" s="12">
        <v>46219</v>
      </c>
      <c r="L481" s="12">
        <v>46219</v>
      </c>
      <c r="M481" s="13" t="s">
        <v>61</v>
      </c>
      <c r="N481" s="14" t="s">
        <v>121</v>
      </c>
      <c r="O481" s="12">
        <v>46225</v>
      </c>
      <c r="P481" s="11">
        <f t="shared" si="42"/>
        <v>7</v>
      </c>
      <c r="Q481" s="11" t="str">
        <f t="shared" ca="1" si="43"/>
        <v>-</v>
      </c>
      <c r="R481" s="11">
        <f>IFERROR(VLOOKUP(G481,Paramètres!$B$6:$F$8,3,FALSE()),"")</f>
        <v>2</v>
      </c>
      <c r="S481" s="11" t="str">
        <f t="shared" ca="1" si="44"/>
        <v>-</v>
      </c>
      <c r="T481" s="12">
        <v>46226</v>
      </c>
      <c r="U481" s="11">
        <f t="shared" si="45"/>
        <v>1</v>
      </c>
      <c r="V481" s="11">
        <f t="shared" si="46"/>
        <v>1</v>
      </c>
      <c r="W481" s="11" t="str">
        <f t="shared" si="47"/>
        <v>Hors délais</v>
      </c>
    </row>
    <row r="482" spans="1:23">
      <c r="A482" s="11">
        <v>466</v>
      </c>
      <c r="B482" s="12">
        <v>46218</v>
      </c>
      <c r="C482" s="13" t="s">
        <v>1261</v>
      </c>
      <c r="D482" s="13" t="s">
        <v>178</v>
      </c>
      <c r="E482" s="13"/>
      <c r="F482" s="13" t="s">
        <v>1262</v>
      </c>
      <c r="G482" s="11" t="s">
        <v>53</v>
      </c>
      <c r="H482" s="11" t="str">
        <f>IFERROR(VLOOKUP(G482,Paramètres!$B$6:$F$8,2,FALSE()),"")</f>
        <v>N/A</v>
      </c>
      <c r="I482" s="13" t="s">
        <v>190</v>
      </c>
      <c r="J482" s="11" t="s">
        <v>48</v>
      </c>
      <c r="K482" s="12">
        <v>46218</v>
      </c>
      <c r="L482" s="12">
        <v>46218</v>
      </c>
      <c r="M482" s="13" t="s">
        <v>56</v>
      </c>
      <c r="N482" s="14" t="s">
        <v>121</v>
      </c>
      <c r="O482" s="12"/>
      <c r="P482" s="11" t="str">
        <f t="shared" si="42"/>
        <v>-</v>
      </c>
      <c r="Q482" s="11" t="str">
        <f t="shared" ca="1" si="43"/>
        <v>-</v>
      </c>
      <c r="R482" s="11" t="str">
        <f>IFERROR(VLOOKUP(G482,Paramètres!$B$6:$F$8,3,FALSE()),"")</f>
        <v>N/A</v>
      </c>
      <c r="S482" s="11" t="str">
        <f t="shared" ca="1" si="44"/>
        <v>-</v>
      </c>
      <c r="T482" s="12"/>
      <c r="U482" s="11" t="str">
        <f t="shared" si="45"/>
        <v>-</v>
      </c>
      <c r="V482" s="11" t="str">
        <f t="shared" si="46"/>
        <v>-</v>
      </c>
      <c r="W482" s="11" t="str">
        <f t="shared" si="47"/>
        <v>Ne nécessite pas de réponse</v>
      </c>
    </row>
    <row r="483" spans="1:23">
      <c r="A483" s="11">
        <v>467</v>
      </c>
      <c r="B483" s="12">
        <v>46219</v>
      </c>
      <c r="C483" s="13" t="s">
        <v>1263</v>
      </c>
      <c r="D483" s="13" t="s">
        <v>37</v>
      </c>
      <c r="E483" s="13" t="s">
        <v>1264</v>
      </c>
      <c r="F483" s="13" t="s">
        <v>1265</v>
      </c>
      <c r="G483" s="11" t="s">
        <v>39</v>
      </c>
      <c r="H483" s="11">
        <f>IFERROR(VLOOKUP(G483,Paramètres!$B$6:$F$8,2,FALSE()),"")</f>
        <v>5</v>
      </c>
      <c r="I483" s="13" t="s">
        <v>155</v>
      </c>
      <c r="J483" s="11" t="s">
        <v>48</v>
      </c>
      <c r="K483" s="12">
        <v>46219</v>
      </c>
      <c r="L483" s="12">
        <v>46220</v>
      </c>
      <c r="M483" s="13" t="s">
        <v>49</v>
      </c>
      <c r="N483" s="14" t="s">
        <v>186</v>
      </c>
      <c r="O483" s="12">
        <v>46237</v>
      </c>
      <c r="P483" s="11">
        <f t="shared" si="42"/>
        <v>18</v>
      </c>
      <c r="Q483" s="11" t="str">
        <f t="shared" ca="1" si="43"/>
        <v>-</v>
      </c>
      <c r="R483" s="11">
        <f>IFERROR(VLOOKUP(G483,Paramètres!$B$6:$F$8,3,FALSE()),"")</f>
        <v>2</v>
      </c>
      <c r="S483" s="11" t="str">
        <f t="shared" ca="1" si="44"/>
        <v>-</v>
      </c>
      <c r="T483" s="12">
        <v>46238</v>
      </c>
      <c r="U483" s="11">
        <f t="shared" si="45"/>
        <v>1</v>
      </c>
      <c r="V483" s="11">
        <f t="shared" si="46"/>
        <v>12</v>
      </c>
      <c r="W483" s="11" t="str">
        <f t="shared" si="47"/>
        <v>Hors délais</v>
      </c>
    </row>
    <row r="484" spans="1:23" ht="28.5">
      <c r="A484" s="11">
        <v>468</v>
      </c>
      <c r="B484" s="12">
        <v>46219</v>
      </c>
      <c r="C484" s="13" t="s">
        <v>1266</v>
      </c>
      <c r="D484" s="13" t="s">
        <v>100</v>
      </c>
      <c r="E484" s="13" t="s">
        <v>1267</v>
      </c>
      <c r="F484" s="13" t="s">
        <v>1268</v>
      </c>
      <c r="G484" s="11" t="s">
        <v>84</v>
      </c>
      <c r="H484" s="11">
        <f>IFERROR(VLOOKUP(G484,Paramètres!$B$6:$F$8,2,FALSE()),"")</f>
        <v>5</v>
      </c>
      <c r="I484" s="13" t="s">
        <v>168</v>
      </c>
      <c r="J484" s="11" t="s">
        <v>48</v>
      </c>
      <c r="K484" s="12">
        <v>46219</v>
      </c>
      <c r="L484" s="12">
        <v>46219</v>
      </c>
      <c r="M484" s="13" t="s">
        <v>75</v>
      </c>
      <c r="N484" s="14" t="s">
        <v>50</v>
      </c>
      <c r="O484" s="12">
        <v>46225</v>
      </c>
      <c r="P484" s="11">
        <f t="shared" si="42"/>
        <v>6</v>
      </c>
      <c r="Q484" s="11" t="str">
        <f t="shared" ca="1" si="43"/>
        <v>-</v>
      </c>
      <c r="R484" s="11">
        <f>IFERROR(VLOOKUP(G484,Paramètres!$B$6:$F$8,3,FALSE()),"")</f>
        <v>2</v>
      </c>
      <c r="S484" s="11" t="str">
        <f t="shared" ca="1" si="44"/>
        <v>-</v>
      </c>
      <c r="T484" s="12">
        <v>46227</v>
      </c>
      <c r="U484" s="11">
        <f t="shared" si="45"/>
        <v>2</v>
      </c>
      <c r="V484" s="11">
        <f t="shared" si="46"/>
        <v>1</v>
      </c>
      <c r="W484" s="11" t="str">
        <f t="shared" si="47"/>
        <v>Hors délais</v>
      </c>
    </row>
    <row r="485" spans="1:23">
      <c r="A485" s="11">
        <v>469</v>
      </c>
      <c r="B485" s="12">
        <v>46219</v>
      </c>
      <c r="C485" s="13" t="s">
        <v>1269</v>
      </c>
      <c r="D485" s="13" t="s">
        <v>100</v>
      </c>
      <c r="E485" s="13"/>
      <c r="F485" s="13" t="s">
        <v>1270</v>
      </c>
      <c r="G485" s="11" t="s">
        <v>53</v>
      </c>
      <c r="H485" s="11" t="str">
        <f>IFERROR(VLOOKUP(G485,Paramètres!$B$6:$F$8,2,FALSE()),"")</f>
        <v>N/A</v>
      </c>
      <c r="I485" s="13" t="s">
        <v>54</v>
      </c>
      <c r="J485" s="11" t="s">
        <v>55</v>
      </c>
      <c r="K485" s="12">
        <v>46219</v>
      </c>
      <c r="L485" s="12">
        <v>46219</v>
      </c>
      <c r="M485" s="13" t="s">
        <v>86</v>
      </c>
      <c r="N485" s="14" t="s">
        <v>66</v>
      </c>
      <c r="O485" s="12"/>
      <c r="P485" s="11" t="str">
        <f t="shared" si="42"/>
        <v>-</v>
      </c>
      <c r="Q485" s="11" t="str">
        <f t="shared" ca="1" si="43"/>
        <v>-</v>
      </c>
      <c r="R485" s="11" t="str">
        <f>IFERROR(VLOOKUP(G485,Paramètres!$B$6:$F$8,3,FALSE()),"")</f>
        <v>N/A</v>
      </c>
      <c r="S485" s="11" t="str">
        <f t="shared" ca="1" si="44"/>
        <v>-</v>
      </c>
      <c r="T485" s="12"/>
      <c r="U485" s="11" t="str">
        <f t="shared" si="45"/>
        <v>-</v>
      </c>
      <c r="V485" s="11" t="str">
        <f t="shared" si="46"/>
        <v>-</v>
      </c>
      <c r="W485" s="11" t="str">
        <f t="shared" si="47"/>
        <v>Ne nécessite pas de réponse</v>
      </c>
    </row>
    <row r="486" spans="1:23">
      <c r="A486" s="11">
        <v>470</v>
      </c>
      <c r="B486" s="12">
        <v>46219</v>
      </c>
      <c r="C486" s="13" t="s">
        <v>1271</v>
      </c>
      <c r="D486" s="13" t="s">
        <v>63</v>
      </c>
      <c r="E486" s="13"/>
      <c r="F486" s="13" t="s">
        <v>1272</v>
      </c>
      <c r="G486" s="11" t="s">
        <v>39</v>
      </c>
      <c r="H486" s="11">
        <f>IFERROR(VLOOKUP(G486,Paramètres!$B$6:$F$8,2,FALSE()),"")</f>
        <v>5</v>
      </c>
      <c r="I486" s="13" t="s">
        <v>94</v>
      </c>
      <c r="J486" s="11" t="s">
        <v>55</v>
      </c>
      <c r="K486" s="12">
        <v>46220</v>
      </c>
      <c r="L486" s="12">
        <v>46220</v>
      </c>
      <c r="M486" s="13" t="s">
        <v>56</v>
      </c>
      <c r="N486" s="14" t="s">
        <v>102</v>
      </c>
      <c r="O486" s="12">
        <v>46226</v>
      </c>
      <c r="P486" s="11">
        <f t="shared" si="42"/>
        <v>7</v>
      </c>
      <c r="Q486" s="11" t="str">
        <f t="shared" ca="1" si="43"/>
        <v>-</v>
      </c>
      <c r="R486" s="11">
        <f>IFERROR(VLOOKUP(G486,Paramètres!$B$6:$F$8,3,FALSE()),"")</f>
        <v>2</v>
      </c>
      <c r="S486" s="11" t="str">
        <f t="shared" ca="1" si="44"/>
        <v>-</v>
      </c>
      <c r="T486" s="12">
        <v>46227</v>
      </c>
      <c r="U486" s="11">
        <f t="shared" si="45"/>
        <v>1</v>
      </c>
      <c r="V486" s="11">
        <f t="shared" si="46"/>
        <v>1</v>
      </c>
      <c r="W486" s="11" t="str">
        <f t="shared" si="47"/>
        <v>Hors délais</v>
      </c>
    </row>
    <row r="487" spans="1:23">
      <c r="A487" s="11">
        <v>471</v>
      </c>
      <c r="B487" s="12">
        <v>46219</v>
      </c>
      <c r="C487" s="13" t="s">
        <v>1273</v>
      </c>
      <c r="D487" s="13" t="s">
        <v>175</v>
      </c>
      <c r="E487" s="13"/>
      <c r="F487" s="13" t="s">
        <v>1274</v>
      </c>
      <c r="G487" s="11" t="s">
        <v>84</v>
      </c>
      <c r="H487" s="11">
        <f>IFERROR(VLOOKUP(G487,Paramètres!$B$6:$F$8,2,FALSE()),"")</f>
        <v>5</v>
      </c>
      <c r="I487" s="13" t="s">
        <v>190</v>
      </c>
      <c r="J487" s="11" t="s">
        <v>48</v>
      </c>
      <c r="K487" s="12">
        <v>46220</v>
      </c>
      <c r="L487" s="12">
        <v>46220</v>
      </c>
      <c r="M487" s="13" t="s">
        <v>56</v>
      </c>
      <c r="N487" s="14" t="s">
        <v>186</v>
      </c>
      <c r="O487" s="12">
        <v>46232</v>
      </c>
      <c r="P487" s="11">
        <f t="shared" si="42"/>
        <v>13</v>
      </c>
      <c r="Q487" s="11" t="str">
        <f t="shared" ca="1" si="43"/>
        <v>-</v>
      </c>
      <c r="R487" s="11">
        <f>IFERROR(VLOOKUP(G487,Paramètres!$B$6:$F$8,3,FALSE()),"")</f>
        <v>2</v>
      </c>
      <c r="S487" s="11" t="str">
        <f t="shared" ca="1" si="44"/>
        <v>-</v>
      </c>
      <c r="T487" s="12">
        <v>46234</v>
      </c>
      <c r="U487" s="11">
        <f t="shared" si="45"/>
        <v>2</v>
      </c>
      <c r="V487" s="11">
        <f t="shared" si="46"/>
        <v>8</v>
      </c>
      <c r="W487" s="11" t="str">
        <f t="shared" si="47"/>
        <v>Hors délais</v>
      </c>
    </row>
    <row r="488" spans="1:23">
      <c r="A488" s="11">
        <v>472</v>
      </c>
      <c r="B488" s="12">
        <v>46220</v>
      </c>
      <c r="C488" s="13" t="s">
        <v>1275</v>
      </c>
      <c r="D488" s="13" t="s">
        <v>59</v>
      </c>
      <c r="E488" s="13" t="s">
        <v>1276</v>
      </c>
      <c r="F488" s="13" t="s">
        <v>1277</v>
      </c>
      <c r="G488" s="11" t="s">
        <v>39</v>
      </c>
      <c r="H488" s="11">
        <f>IFERROR(VLOOKUP(G488,Paramètres!$B$6:$F$8,2,FALSE()),"")</f>
        <v>5</v>
      </c>
      <c r="I488" s="13" t="s">
        <v>168</v>
      </c>
      <c r="J488" s="11" t="s">
        <v>48</v>
      </c>
      <c r="K488" s="12">
        <v>46220</v>
      </c>
      <c r="L488" s="12">
        <v>46223</v>
      </c>
      <c r="M488" s="13" t="s">
        <v>86</v>
      </c>
      <c r="N488" s="14" t="s">
        <v>186</v>
      </c>
      <c r="O488" s="12">
        <v>46227</v>
      </c>
      <c r="P488" s="11">
        <f t="shared" si="42"/>
        <v>7</v>
      </c>
      <c r="Q488" s="11" t="str">
        <f t="shared" ca="1" si="43"/>
        <v>-</v>
      </c>
      <c r="R488" s="11">
        <f>IFERROR(VLOOKUP(G488,Paramètres!$B$6:$F$8,3,FALSE()),"")</f>
        <v>2</v>
      </c>
      <c r="S488" s="11" t="str">
        <f t="shared" ca="1" si="44"/>
        <v>-</v>
      </c>
      <c r="T488" s="12">
        <v>46230</v>
      </c>
      <c r="U488" s="11">
        <f t="shared" si="45"/>
        <v>3</v>
      </c>
      <c r="V488" s="11">
        <f t="shared" si="46"/>
        <v>3</v>
      </c>
      <c r="W488" s="11" t="str">
        <f t="shared" si="47"/>
        <v>Hors délais</v>
      </c>
    </row>
    <row r="489" spans="1:23">
      <c r="A489" s="11">
        <v>473</v>
      </c>
      <c r="B489" s="12">
        <v>46220</v>
      </c>
      <c r="C489" s="13" t="s">
        <v>1278</v>
      </c>
      <c r="D489" s="13" t="s">
        <v>175</v>
      </c>
      <c r="E489" s="13" t="s">
        <v>1279</v>
      </c>
      <c r="F489" s="13" t="s">
        <v>1280</v>
      </c>
      <c r="G489" s="11" t="s">
        <v>39</v>
      </c>
      <c r="H489" s="11">
        <f>IFERROR(VLOOKUP(G489,Paramètres!$B$6:$F$8,2,FALSE()),"")</f>
        <v>5</v>
      </c>
      <c r="I489" s="13" t="s">
        <v>120</v>
      </c>
      <c r="J489" s="11" t="s">
        <v>48</v>
      </c>
      <c r="K489" s="12">
        <v>46220</v>
      </c>
      <c r="L489" s="12">
        <v>46220</v>
      </c>
      <c r="M489" s="13" t="s">
        <v>61</v>
      </c>
      <c r="N489" s="14" t="s">
        <v>121</v>
      </c>
      <c r="O489" s="12">
        <v>46225</v>
      </c>
      <c r="P489" s="11">
        <f t="shared" si="42"/>
        <v>5</v>
      </c>
      <c r="Q489" s="11" t="str">
        <f t="shared" ca="1" si="43"/>
        <v>-</v>
      </c>
      <c r="R489" s="11">
        <f>IFERROR(VLOOKUP(G489,Paramètres!$B$6:$F$8,3,FALSE()),"")</f>
        <v>2</v>
      </c>
      <c r="S489" s="11" t="str">
        <f t="shared" ca="1" si="44"/>
        <v>-</v>
      </c>
      <c r="T489" s="12">
        <v>46226</v>
      </c>
      <c r="U489" s="11">
        <f t="shared" si="45"/>
        <v>1</v>
      </c>
      <c r="V489" s="11">
        <f t="shared" si="46"/>
        <v>-1</v>
      </c>
      <c r="W489" s="11" t="str">
        <f t="shared" si="47"/>
        <v>Dans les délais</v>
      </c>
    </row>
    <row r="490" spans="1:23">
      <c r="A490" s="11">
        <v>474</v>
      </c>
      <c r="B490" s="12">
        <v>46220</v>
      </c>
      <c r="C490" s="13" t="s">
        <v>1281</v>
      </c>
      <c r="D490" s="13" t="s">
        <v>45</v>
      </c>
      <c r="E490" s="13"/>
      <c r="F490" s="13" t="s">
        <v>1282</v>
      </c>
      <c r="G490" s="11" t="s">
        <v>39</v>
      </c>
      <c r="H490" s="11">
        <f>IFERROR(VLOOKUP(G490,Paramètres!$B$6:$F$8,2,FALSE()),"")</f>
        <v>5</v>
      </c>
      <c r="I490" s="13" t="s">
        <v>190</v>
      </c>
      <c r="J490" s="11" t="s">
        <v>48</v>
      </c>
      <c r="K490" s="12">
        <v>46220</v>
      </c>
      <c r="L490" s="12">
        <v>46223</v>
      </c>
      <c r="M490" s="13" t="s">
        <v>49</v>
      </c>
      <c r="N490" s="14" t="s">
        <v>186</v>
      </c>
      <c r="O490" s="12">
        <v>46225</v>
      </c>
      <c r="P490" s="11">
        <f t="shared" si="42"/>
        <v>5</v>
      </c>
      <c r="Q490" s="11" t="str">
        <f t="shared" ca="1" si="43"/>
        <v>-</v>
      </c>
      <c r="R490" s="11">
        <f>IFERROR(VLOOKUP(G490,Paramètres!$B$6:$F$8,3,FALSE()),"")</f>
        <v>2</v>
      </c>
      <c r="S490" s="11" t="str">
        <f t="shared" ca="1" si="44"/>
        <v>-</v>
      </c>
      <c r="T490" s="12">
        <v>46227</v>
      </c>
      <c r="U490" s="11">
        <f t="shared" si="45"/>
        <v>2</v>
      </c>
      <c r="V490" s="11">
        <f t="shared" si="46"/>
        <v>0</v>
      </c>
      <c r="W490" s="11" t="str">
        <f t="shared" si="47"/>
        <v>Dans les délais</v>
      </c>
    </row>
    <row r="491" spans="1:23">
      <c r="A491" s="11">
        <v>475</v>
      </c>
      <c r="B491" s="12">
        <v>46220</v>
      </c>
      <c r="C491" s="13" t="s">
        <v>1283</v>
      </c>
      <c r="D491" s="13" t="s">
        <v>178</v>
      </c>
      <c r="E491" s="13" t="s">
        <v>1284</v>
      </c>
      <c r="F491" s="13" t="s">
        <v>1285</v>
      </c>
      <c r="G491" s="11" t="s">
        <v>53</v>
      </c>
      <c r="H491" s="11" t="str">
        <f>IFERROR(VLOOKUP(G491,Paramètres!$B$6:$F$8,2,FALSE()),"")</f>
        <v>N/A</v>
      </c>
      <c r="I491" s="13" t="s">
        <v>168</v>
      </c>
      <c r="J491" s="11" t="s">
        <v>48</v>
      </c>
      <c r="K491" s="12">
        <v>46220</v>
      </c>
      <c r="L491" s="12">
        <v>46220</v>
      </c>
      <c r="M491" s="13" t="s">
        <v>56</v>
      </c>
      <c r="N491" s="14" t="s">
        <v>50</v>
      </c>
      <c r="O491" s="12"/>
      <c r="P491" s="11" t="str">
        <f t="shared" si="42"/>
        <v>-</v>
      </c>
      <c r="Q491" s="11" t="str">
        <f t="shared" ca="1" si="43"/>
        <v>-</v>
      </c>
      <c r="R491" s="11" t="str">
        <f>IFERROR(VLOOKUP(G491,Paramètres!$B$6:$F$8,3,FALSE()),"")</f>
        <v>N/A</v>
      </c>
      <c r="S491" s="11" t="str">
        <f t="shared" ca="1" si="44"/>
        <v>-</v>
      </c>
      <c r="T491" s="12"/>
      <c r="U491" s="11" t="str">
        <f t="shared" si="45"/>
        <v>-</v>
      </c>
      <c r="V491" s="11" t="str">
        <f t="shared" si="46"/>
        <v>-</v>
      </c>
      <c r="W491" s="11" t="str">
        <f t="shared" si="47"/>
        <v>Ne nécessite pas de réponse</v>
      </c>
    </row>
    <row r="492" spans="1:23">
      <c r="A492" s="11">
        <v>476</v>
      </c>
      <c r="B492" s="12">
        <v>46220</v>
      </c>
      <c r="C492" s="13" t="s">
        <v>1286</v>
      </c>
      <c r="D492" s="13" t="s">
        <v>100</v>
      </c>
      <c r="E492" s="13" t="s">
        <v>1287</v>
      </c>
      <c r="F492" s="13" t="s">
        <v>1288</v>
      </c>
      <c r="G492" s="11" t="s">
        <v>39</v>
      </c>
      <c r="H492" s="11">
        <f>IFERROR(VLOOKUP(G492,Paramètres!$B$6:$F$8,2,FALSE()),"")</f>
        <v>5</v>
      </c>
      <c r="I492" s="13" t="s">
        <v>232</v>
      </c>
      <c r="J492" s="11" t="s">
        <v>55</v>
      </c>
      <c r="K492" s="12">
        <v>46220</v>
      </c>
      <c r="L492" s="12">
        <v>46220</v>
      </c>
      <c r="M492" s="13"/>
      <c r="N492" s="14" t="s">
        <v>102</v>
      </c>
      <c r="O492" s="12">
        <v>46227</v>
      </c>
      <c r="P492" s="11">
        <f t="shared" si="42"/>
        <v>7</v>
      </c>
      <c r="Q492" s="11" t="str">
        <f t="shared" ca="1" si="43"/>
        <v>-</v>
      </c>
      <c r="R492" s="11">
        <f>IFERROR(VLOOKUP(G492,Paramètres!$B$6:$F$8,3,FALSE()),"")</f>
        <v>2</v>
      </c>
      <c r="S492" s="11" t="str">
        <f t="shared" ca="1" si="44"/>
        <v>-</v>
      </c>
      <c r="T492" s="12">
        <v>46232</v>
      </c>
      <c r="U492" s="11">
        <f t="shared" si="45"/>
        <v>5</v>
      </c>
      <c r="V492" s="11">
        <f t="shared" si="46"/>
        <v>5</v>
      </c>
      <c r="W492" s="11" t="str">
        <f t="shared" si="47"/>
        <v>Hors délais</v>
      </c>
    </row>
    <row r="493" spans="1:23">
      <c r="A493" s="11">
        <v>477</v>
      </c>
      <c r="B493" s="12">
        <v>46223</v>
      </c>
      <c r="C493" s="13" t="s">
        <v>1289</v>
      </c>
      <c r="D493" s="13" t="s">
        <v>63</v>
      </c>
      <c r="E493" s="13" t="s">
        <v>1290</v>
      </c>
      <c r="F493" s="13" t="s">
        <v>1291</v>
      </c>
      <c r="G493" s="11" t="s">
        <v>84</v>
      </c>
      <c r="H493" s="11">
        <f>IFERROR(VLOOKUP(G493,Paramètres!$B$6:$F$8,2,FALSE()),"")</f>
        <v>5</v>
      </c>
      <c r="I493" s="13" t="s">
        <v>120</v>
      </c>
      <c r="J493" s="11" t="s">
        <v>48</v>
      </c>
      <c r="K493" s="12">
        <v>46223</v>
      </c>
      <c r="L493" s="12">
        <v>46223</v>
      </c>
      <c r="M493" s="13" t="s">
        <v>49</v>
      </c>
      <c r="N493" s="14" t="s">
        <v>186</v>
      </c>
      <c r="O493" s="12"/>
      <c r="P493" s="11" t="str">
        <f t="shared" si="42"/>
        <v/>
      </c>
      <c r="Q493" s="11" t="str">
        <f t="shared" ca="1" si="43"/>
        <v>ROUGE</v>
      </c>
      <c r="R493" s="11">
        <f>IFERROR(VLOOKUP(G493,Paramètres!$B$6:$F$8,3,FALSE()),"")</f>
        <v>2</v>
      </c>
      <c r="S493" s="11" t="str">
        <f t="shared" ca="1" si="44"/>
        <v/>
      </c>
      <c r="T493" s="12"/>
      <c r="U493" s="11" t="str">
        <f t="shared" si="45"/>
        <v/>
      </c>
      <c r="V493" s="11" t="str">
        <f t="shared" si="46"/>
        <v/>
      </c>
      <c r="W493" s="11" t="str">
        <f t="shared" si="47"/>
        <v/>
      </c>
    </row>
    <row r="494" spans="1:23">
      <c r="A494" s="11">
        <v>478</v>
      </c>
      <c r="B494" s="12">
        <v>46223</v>
      </c>
      <c r="C494" s="13" t="s">
        <v>1292</v>
      </c>
      <c r="D494" s="13" t="s">
        <v>178</v>
      </c>
      <c r="E494" s="13"/>
      <c r="F494" s="13" t="s">
        <v>1293</v>
      </c>
      <c r="G494" s="11" t="s">
        <v>84</v>
      </c>
      <c r="H494" s="11">
        <f>IFERROR(VLOOKUP(G494,Paramètres!$B$6:$F$8,2,FALSE()),"")</f>
        <v>5</v>
      </c>
      <c r="I494" s="13" t="s">
        <v>54</v>
      </c>
      <c r="J494" s="11" t="s">
        <v>55</v>
      </c>
      <c r="K494" s="12">
        <v>46223</v>
      </c>
      <c r="L494" s="12">
        <v>46224</v>
      </c>
      <c r="M494" s="13" t="s">
        <v>61</v>
      </c>
      <c r="N494" s="14" t="s">
        <v>57</v>
      </c>
      <c r="O494" s="12">
        <v>46231</v>
      </c>
      <c r="P494" s="11">
        <f t="shared" si="42"/>
        <v>8</v>
      </c>
      <c r="Q494" s="11" t="str">
        <f t="shared" ca="1" si="43"/>
        <v>-</v>
      </c>
      <c r="R494" s="11">
        <f>IFERROR(VLOOKUP(G494,Paramètres!$B$6:$F$8,3,FALSE()),"")</f>
        <v>2</v>
      </c>
      <c r="S494" s="11" t="str">
        <f t="shared" ca="1" si="44"/>
        <v>-</v>
      </c>
      <c r="T494" s="12">
        <v>46233</v>
      </c>
      <c r="U494" s="11">
        <f t="shared" si="45"/>
        <v>2</v>
      </c>
      <c r="V494" s="11">
        <f t="shared" si="46"/>
        <v>3</v>
      </c>
      <c r="W494" s="11" t="str">
        <f t="shared" si="47"/>
        <v>Hors délais</v>
      </c>
    </row>
    <row r="495" spans="1:23">
      <c r="A495" s="11">
        <v>479</v>
      </c>
      <c r="B495" s="12">
        <v>46223</v>
      </c>
      <c r="C495" s="13" t="s">
        <v>1294</v>
      </c>
      <c r="D495" s="13" t="s">
        <v>178</v>
      </c>
      <c r="E495" s="13" t="s">
        <v>1295</v>
      </c>
      <c r="F495" s="13" t="s">
        <v>1296</v>
      </c>
      <c r="G495" s="11" t="s">
        <v>53</v>
      </c>
      <c r="H495" s="11" t="str">
        <f>IFERROR(VLOOKUP(G495,Paramètres!$B$6:$F$8,2,FALSE()),"")</f>
        <v>N/A</v>
      </c>
      <c r="I495" s="13" t="s">
        <v>65</v>
      </c>
      <c r="J495" s="11" t="s">
        <v>55</v>
      </c>
      <c r="K495" s="12">
        <v>46223</v>
      </c>
      <c r="L495" s="12">
        <v>46223</v>
      </c>
      <c r="M495" s="13" t="s">
        <v>49</v>
      </c>
      <c r="N495" s="14" t="s">
        <v>57</v>
      </c>
      <c r="O495" s="12"/>
      <c r="P495" s="11" t="str">
        <f t="shared" si="42"/>
        <v>-</v>
      </c>
      <c r="Q495" s="11" t="str">
        <f t="shared" ca="1" si="43"/>
        <v>-</v>
      </c>
      <c r="R495" s="11" t="str">
        <f>IFERROR(VLOOKUP(G495,Paramètres!$B$6:$F$8,3,FALSE()),"")</f>
        <v>N/A</v>
      </c>
      <c r="S495" s="11" t="str">
        <f t="shared" ca="1" si="44"/>
        <v>-</v>
      </c>
      <c r="T495" s="12"/>
      <c r="U495" s="11" t="str">
        <f t="shared" si="45"/>
        <v>-</v>
      </c>
      <c r="V495" s="11" t="str">
        <f t="shared" si="46"/>
        <v>-</v>
      </c>
      <c r="W495" s="11" t="str">
        <f t="shared" si="47"/>
        <v>Ne nécessite pas de réponse</v>
      </c>
    </row>
    <row r="496" spans="1:23">
      <c r="A496" s="11">
        <v>480</v>
      </c>
      <c r="B496" s="12">
        <v>46223</v>
      </c>
      <c r="C496" s="13" t="s">
        <v>1297</v>
      </c>
      <c r="D496" s="13" t="s">
        <v>230</v>
      </c>
      <c r="E496" s="13"/>
      <c r="F496" s="13" t="s">
        <v>1298</v>
      </c>
      <c r="G496" s="11" t="s">
        <v>84</v>
      </c>
      <c r="H496" s="11">
        <f>IFERROR(VLOOKUP(G496,Paramètres!$B$6:$F$8,2,FALSE()),"")</f>
        <v>5</v>
      </c>
      <c r="I496" s="13" t="s">
        <v>228</v>
      </c>
      <c r="J496" s="11" t="s">
        <v>55</v>
      </c>
      <c r="K496" s="12">
        <v>46223</v>
      </c>
      <c r="L496" s="12">
        <v>46223</v>
      </c>
      <c r="M496" s="13" t="s">
        <v>42</v>
      </c>
      <c r="N496" s="14" t="s">
        <v>57</v>
      </c>
      <c r="O496" s="12">
        <v>46230</v>
      </c>
      <c r="P496" s="11">
        <f t="shared" si="42"/>
        <v>7</v>
      </c>
      <c r="Q496" s="11" t="str">
        <f t="shared" ca="1" si="43"/>
        <v>-</v>
      </c>
      <c r="R496" s="11">
        <f>IFERROR(VLOOKUP(G496,Paramètres!$B$6:$F$8,3,FALSE()),"")</f>
        <v>2</v>
      </c>
      <c r="S496" s="11" t="str">
        <f t="shared" ca="1" si="44"/>
        <v>-</v>
      </c>
      <c r="T496" s="12">
        <v>46231</v>
      </c>
      <c r="U496" s="11">
        <f t="shared" si="45"/>
        <v>1</v>
      </c>
      <c r="V496" s="11">
        <f t="shared" si="46"/>
        <v>1</v>
      </c>
      <c r="W496" s="11" t="str">
        <f t="shared" si="47"/>
        <v>Hors délais</v>
      </c>
    </row>
    <row r="497" spans="1:23">
      <c r="A497" s="11">
        <v>481</v>
      </c>
      <c r="B497" s="12">
        <v>46224</v>
      </c>
      <c r="C497" s="13" t="s">
        <v>1299</v>
      </c>
      <c r="D497" s="13" t="s">
        <v>145</v>
      </c>
      <c r="E497" s="13" t="s">
        <v>1300</v>
      </c>
      <c r="F497" s="13" t="s">
        <v>1301</v>
      </c>
      <c r="G497" s="11" t="s">
        <v>39</v>
      </c>
      <c r="H497" s="11">
        <f>IFERROR(VLOOKUP(G497,Paramètres!$B$6:$F$8,2,FALSE()),"")</f>
        <v>5</v>
      </c>
      <c r="I497" s="13" t="s">
        <v>94</v>
      </c>
      <c r="J497" s="11" t="s">
        <v>55</v>
      </c>
      <c r="K497" s="12">
        <v>46224</v>
      </c>
      <c r="L497" s="12">
        <v>46225</v>
      </c>
      <c r="M497" s="13" t="s">
        <v>61</v>
      </c>
      <c r="N497" s="14" t="s">
        <v>66</v>
      </c>
      <c r="O497" s="12">
        <v>46230</v>
      </c>
      <c r="P497" s="11">
        <f t="shared" si="42"/>
        <v>6</v>
      </c>
      <c r="Q497" s="11" t="str">
        <f t="shared" ca="1" si="43"/>
        <v>-</v>
      </c>
      <c r="R497" s="11">
        <f>IFERROR(VLOOKUP(G497,Paramètres!$B$6:$F$8,3,FALSE()),"")</f>
        <v>2</v>
      </c>
      <c r="S497" s="11" t="str">
        <f t="shared" ca="1" si="44"/>
        <v>-</v>
      </c>
      <c r="T497" s="12">
        <v>46231</v>
      </c>
      <c r="U497" s="11">
        <f t="shared" si="45"/>
        <v>1</v>
      </c>
      <c r="V497" s="11">
        <f t="shared" si="46"/>
        <v>0</v>
      </c>
      <c r="W497" s="11" t="str">
        <f t="shared" si="47"/>
        <v>Dans les délais</v>
      </c>
    </row>
    <row r="498" spans="1:23">
      <c r="A498" s="11">
        <v>482</v>
      </c>
      <c r="B498" s="12">
        <v>46224</v>
      </c>
      <c r="C498" s="13" t="s">
        <v>1302</v>
      </c>
      <c r="D498" s="13" t="s">
        <v>59</v>
      </c>
      <c r="E498" s="13"/>
      <c r="F498" s="13" t="s">
        <v>1303</v>
      </c>
      <c r="G498" s="11" t="s">
        <v>53</v>
      </c>
      <c r="H498" s="11" t="str">
        <f>IFERROR(VLOOKUP(G498,Paramètres!$B$6:$F$8,2,FALSE()),"")</f>
        <v>N/A</v>
      </c>
      <c r="I498" s="13" t="s">
        <v>232</v>
      </c>
      <c r="J498" s="11" t="s">
        <v>55</v>
      </c>
      <c r="K498" s="12">
        <v>46225</v>
      </c>
      <c r="L498" s="12">
        <v>46225</v>
      </c>
      <c r="M498" s="13"/>
      <c r="N498" s="14" t="s">
        <v>102</v>
      </c>
      <c r="O498" s="12"/>
      <c r="P498" s="11" t="str">
        <f t="shared" si="42"/>
        <v>-</v>
      </c>
      <c r="Q498" s="11" t="str">
        <f t="shared" ca="1" si="43"/>
        <v>-</v>
      </c>
      <c r="R498" s="11" t="str">
        <f>IFERROR(VLOOKUP(G498,Paramètres!$B$6:$F$8,3,FALSE()),"")</f>
        <v>N/A</v>
      </c>
      <c r="S498" s="11" t="str">
        <f t="shared" ca="1" si="44"/>
        <v>-</v>
      </c>
      <c r="T498" s="12"/>
      <c r="U498" s="11" t="str">
        <f t="shared" si="45"/>
        <v>-</v>
      </c>
      <c r="V498" s="11" t="str">
        <f t="shared" si="46"/>
        <v>-</v>
      </c>
      <c r="W498" s="11" t="str">
        <f t="shared" si="47"/>
        <v>Ne nécessite pas de réponse</v>
      </c>
    </row>
    <row r="499" spans="1:23">
      <c r="A499" s="11">
        <v>483</v>
      </c>
      <c r="B499" s="12">
        <v>46225</v>
      </c>
      <c r="C499" s="13" t="s">
        <v>1304</v>
      </c>
      <c r="D499" s="13" t="s">
        <v>145</v>
      </c>
      <c r="E499" s="13"/>
      <c r="F499" s="13" t="s">
        <v>1305</v>
      </c>
      <c r="G499" s="11" t="s">
        <v>39</v>
      </c>
      <c r="H499" s="11">
        <f>IFERROR(VLOOKUP(G499,Paramètres!$B$6:$F$8,2,FALSE()),"")</f>
        <v>5</v>
      </c>
      <c r="I499" s="13" t="s">
        <v>98</v>
      </c>
      <c r="J499" s="11" t="s">
        <v>41</v>
      </c>
      <c r="K499" s="12">
        <v>46226</v>
      </c>
      <c r="L499" s="12">
        <v>46227</v>
      </c>
      <c r="M499" s="13" t="s">
        <v>49</v>
      </c>
      <c r="N499" s="14" t="s">
        <v>43</v>
      </c>
      <c r="O499" s="12">
        <v>46232</v>
      </c>
      <c r="P499" s="11">
        <f t="shared" si="42"/>
        <v>7</v>
      </c>
      <c r="Q499" s="11" t="str">
        <f t="shared" ca="1" si="43"/>
        <v>-</v>
      </c>
      <c r="R499" s="11">
        <f>IFERROR(VLOOKUP(G499,Paramètres!$B$6:$F$8,3,FALSE()),"")</f>
        <v>2</v>
      </c>
      <c r="S499" s="11" t="str">
        <f t="shared" ca="1" si="44"/>
        <v>-</v>
      </c>
      <c r="T499" s="12">
        <v>46234</v>
      </c>
      <c r="U499" s="11">
        <f t="shared" si="45"/>
        <v>2</v>
      </c>
      <c r="V499" s="11">
        <f t="shared" si="46"/>
        <v>2</v>
      </c>
      <c r="W499" s="11" t="str">
        <f t="shared" si="47"/>
        <v>Hors délais</v>
      </c>
    </row>
    <row r="500" spans="1:23">
      <c r="A500" s="11">
        <v>484</v>
      </c>
      <c r="B500" s="12">
        <v>46225</v>
      </c>
      <c r="C500" s="13" t="s">
        <v>1306</v>
      </c>
      <c r="D500" s="13" t="s">
        <v>81</v>
      </c>
      <c r="E500" s="13" t="s">
        <v>1307</v>
      </c>
      <c r="F500" s="13" t="s">
        <v>1308</v>
      </c>
      <c r="G500" s="11" t="s">
        <v>53</v>
      </c>
      <c r="H500" s="11" t="str">
        <f>IFERROR(VLOOKUP(G500,Paramètres!$B$6:$F$8,2,FALSE()),"")</f>
        <v>N/A</v>
      </c>
      <c r="I500" s="13" t="s">
        <v>71</v>
      </c>
      <c r="J500" s="11" t="s">
        <v>41</v>
      </c>
      <c r="K500" s="12">
        <v>46225</v>
      </c>
      <c r="L500" s="12">
        <v>46225</v>
      </c>
      <c r="M500" s="13" t="s">
        <v>56</v>
      </c>
      <c r="N500" s="14" t="s">
        <v>43</v>
      </c>
      <c r="O500" s="12"/>
      <c r="P500" s="11" t="str">
        <f t="shared" si="42"/>
        <v>-</v>
      </c>
      <c r="Q500" s="11" t="str">
        <f t="shared" ca="1" si="43"/>
        <v>-</v>
      </c>
      <c r="R500" s="11" t="str">
        <f>IFERROR(VLOOKUP(G500,Paramètres!$B$6:$F$8,3,FALSE()),"")</f>
        <v>N/A</v>
      </c>
      <c r="S500" s="11" t="str">
        <f t="shared" ca="1" si="44"/>
        <v>-</v>
      </c>
      <c r="T500" s="12"/>
      <c r="U500" s="11" t="str">
        <f t="shared" si="45"/>
        <v>-</v>
      </c>
      <c r="V500" s="11" t="str">
        <f t="shared" si="46"/>
        <v>-</v>
      </c>
      <c r="W500" s="11" t="str">
        <f t="shared" si="47"/>
        <v>Ne nécessite pas de réponse</v>
      </c>
    </row>
    <row r="501" spans="1:23">
      <c r="A501" s="11">
        <v>485</v>
      </c>
      <c r="B501" s="12">
        <v>46225</v>
      </c>
      <c r="C501" s="13" t="s">
        <v>1309</v>
      </c>
      <c r="D501" s="13" t="s">
        <v>178</v>
      </c>
      <c r="E501" s="13"/>
      <c r="F501" s="13" t="s">
        <v>1310</v>
      </c>
      <c r="G501" s="11" t="s">
        <v>39</v>
      </c>
      <c r="H501" s="11">
        <f>IFERROR(VLOOKUP(G501,Paramètres!$B$6:$F$8,2,FALSE()),"")</f>
        <v>5</v>
      </c>
      <c r="I501" s="13" t="s">
        <v>426</v>
      </c>
      <c r="J501" s="11" t="s">
        <v>41</v>
      </c>
      <c r="K501" s="12">
        <v>46225</v>
      </c>
      <c r="L501" s="12">
        <v>46225</v>
      </c>
      <c r="M501" s="13" t="s">
        <v>56</v>
      </c>
      <c r="N501" s="14" t="s">
        <v>87</v>
      </c>
      <c r="O501" s="12">
        <v>46233</v>
      </c>
      <c r="P501" s="11">
        <f t="shared" si="42"/>
        <v>8</v>
      </c>
      <c r="Q501" s="11" t="str">
        <f t="shared" ca="1" si="43"/>
        <v>-</v>
      </c>
      <c r="R501" s="11">
        <f>IFERROR(VLOOKUP(G501,Paramètres!$B$6:$F$8,3,FALSE()),"")</f>
        <v>2</v>
      </c>
      <c r="S501" s="11" t="str">
        <f t="shared" ca="1" si="44"/>
        <v>-</v>
      </c>
      <c r="T501" s="12">
        <v>46237</v>
      </c>
      <c r="U501" s="11">
        <f t="shared" si="45"/>
        <v>4</v>
      </c>
      <c r="V501" s="11">
        <f t="shared" si="46"/>
        <v>5</v>
      </c>
      <c r="W501" s="11" t="str">
        <f t="shared" si="47"/>
        <v>Hors délais</v>
      </c>
    </row>
    <row r="502" spans="1:23">
      <c r="A502" s="11">
        <v>486</v>
      </c>
      <c r="B502" s="12">
        <v>46226</v>
      </c>
      <c r="C502" s="13" t="s">
        <v>1311</v>
      </c>
      <c r="D502" s="13" t="s">
        <v>96</v>
      </c>
      <c r="E502" s="13" t="s">
        <v>1312</v>
      </c>
      <c r="F502" s="13" t="s">
        <v>1313</v>
      </c>
      <c r="G502" s="11" t="s">
        <v>39</v>
      </c>
      <c r="H502" s="11">
        <f>IFERROR(VLOOKUP(G502,Paramètres!$B$6:$F$8,2,FALSE()),"")</f>
        <v>5</v>
      </c>
      <c r="I502" s="13" t="s">
        <v>155</v>
      </c>
      <c r="J502" s="11" t="s">
        <v>48</v>
      </c>
      <c r="K502" s="12">
        <v>46226</v>
      </c>
      <c r="L502" s="12">
        <v>46226</v>
      </c>
      <c r="M502" s="13" t="s">
        <v>49</v>
      </c>
      <c r="N502" s="14" t="s">
        <v>50</v>
      </c>
      <c r="O502" s="12">
        <v>46232</v>
      </c>
      <c r="P502" s="11">
        <f t="shared" si="42"/>
        <v>6</v>
      </c>
      <c r="Q502" s="11" t="str">
        <f t="shared" ca="1" si="43"/>
        <v>-</v>
      </c>
      <c r="R502" s="11">
        <f>IFERROR(VLOOKUP(G502,Paramètres!$B$6:$F$8,3,FALSE()),"")</f>
        <v>2</v>
      </c>
      <c r="S502" s="11" t="str">
        <f t="shared" ca="1" si="44"/>
        <v>-</v>
      </c>
      <c r="T502" s="12">
        <v>46233</v>
      </c>
      <c r="U502" s="11">
        <f t="shared" si="45"/>
        <v>1</v>
      </c>
      <c r="V502" s="11">
        <f t="shared" si="46"/>
        <v>0</v>
      </c>
      <c r="W502" s="11" t="str">
        <f t="shared" si="47"/>
        <v>Dans les délais</v>
      </c>
    </row>
    <row r="503" spans="1:23">
      <c r="A503" s="11">
        <v>487</v>
      </c>
      <c r="B503" s="12">
        <v>46226</v>
      </c>
      <c r="C503" s="13" t="s">
        <v>1314</v>
      </c>
      <c r="D503" s="13" t="s">
        <v>45</v>
      </c>
      <c r="E503" s="13" t="s">
        <v>1315</v>
      </c>
      <c r="F503" s="13" t="s">
        <v>1316</v>
      </c>
      <c r="G503" s="11" t="s">
        <v>39</v>
      </c>
      <c r="H503" s="11">
        <f>IFERROR(VLOOKUP(G503,Paramètres!$B$6:$F$8,2,FALSE()),"")</f>
        <v>5</v>
      </c>
      <c r="I503" s="13" t="s">
        <v>185</v>
      </c>
      <c r="J503" s="11" t="s">
        <v>48</v>
      </c>
      <c r="K503" s="12">
        <v>46226</v>
      </c>
      <c r="L503" s="12">
        <v>46227</v>
      </c>
      <c r="M503" s="13"/>
      <c r="N503" s="14" t="s">
        <v>186</v>
      </c>
      <c r="O503" s="12">
        <v>46232</v>
      </c>
      <c r="P503" s="11">
        <f t="shared" si="42"/>
        <v>6</v>
      </c>
      <c r="Q503" s="11" t="str">
        <f t="shared" ca="1" si="43"/>
        <v>-</v>
      </c>
      <c r="R503" s="11">
        <f>IFERROR(VLOOKUP(G503,Paramètres!$B$6:$F$8,3,FALSE()),"")</f>
        <v>2</v>
      </c>
      <c r="S503" s="11" t="str">
        <f t="shared" ca="1" si="44"/>
        <v>-</v>
      </c>
      <c r="T503" s="12">
        <v>46237</v>
      </c>
      <c r="U503" s="11">
        <f t="shared" si="45"/>
        <v>5</v>
      </c>
      <c r="V503" s="11">
        <f t="shared" si="46"/>
        <v>4</v>
      </c>
      <c r="W503" s="11" t="str">
        <f t="shared" si="47"/>
        <v>Hors délais</v>
      </c>
    </row>
    <row r="504" spans="1:23">
      <c r="A504" s="11">
        <v>488</v>
      </c>
      <c r="B504" s="12">
        <v>46226</v>
      </c>
      <c r="C504" s="13" t="s">
        <v>1317</v>
      </c>
      <c r="D504" s="13" t="s">
        <v>96</v>
      </c>
      <c r="E504" s="13" t="s">
        <v>1318</v>
      </c>
      <c r="F504" s="13" t="s">
        <v>1319</v>
      </c>
      <c r="G504" s="11" t="s">
        <v>39</v>
      </c>
      <c r="H504" s="11">
        <f>IFERROR(VLOOKUP(G504,Paramètres!$B$6:$F$8,2,FALSE()),"")</f>
        <v>5</v>
      </c>
      <c r="I504" s="13" t="s">
        <v>155</v>
      </c>
      <c r="J504" s="11" t="s">
        <v>48</v>
      </c>
      <c r="K504" s="12">
        <v>46226</v>
      </c>
      <c r="L504" s="12">
        <v>46227</v>
      </c>
      <c r="M504" s="13"/>
      <c r="N504" s="14" t="s">
        <v>121</v>
      </c>
      <c r="O504" s="12">
        <v>46230</v>
      </c>
      <c r="P504" s="11">
        <f t="shared" si="42"/>
        <v>4</v>
      </c>
      <c r="Q504" s="11" t="str">
        <f t="shared" ca="1" si="43"/>
        <v>-</v>
      </c>
      <c r="R504" s="11">
        <f>IFERROR(VLOOKUP(G504,Paramètres!$B$6:$F$8,3,FALSE()),"")</f>
        <v>2</v>
      </c>
      <c r="S504" s="11" t="str">
        <f t="shared" ca="1" si="44"/>
        <v>-</v>
      </c>
      <c r="T504" s="12">
        <v>46231</v>
      </c>
      <c r="U504" s="11">
        <f t="shared" si="45"/>
        <v>1</v>
      </c>
      <c r="V504" s="11">
        <f t="shared" si="46"/>
        <v>-2</v>
      </c>
      <c r="W504" s="11" t="str">
        <f t="shared" si="47"/>
        <v>Dans les délais</v>
      </c>
    </row>
    <row r="505" spans="1:23">
      <c r="A505" s="11">
        <v>489</v>
      </c>
      <c r="B505" s="12">
        <v>46227</v>
      </c>
      <c r="C505" s="13" t="s">
        <v>1320</v>
      </c>
      <c r="D505" s="13" t="s">
        <v>37</v>
      </c>
      <c r="E505" s="13" t="s">
        <v>1321</v>
      </c>
      <c r="F505" s="13" t="s">
        <v>1322</v>
      </c>
      <c r="G505" s="11" t="s">
        <v>39</v>
      </c>
      <c r="H505" s="11">
        <f>IFERROR(VLOOKUP(G505,Paramètres!$B$6:$F$8,2,FALSE()),"")</f>
        <v>5</v>
      </c>
      <c r="I505" s="13" t="s">
        <v>130</v>
      </c>
      <c r="J505" s="11" t="s">
        <v>48</v>
      </c>
      <c r="K505" s="12">
        <v>46227</v>
      </c>
      <c r="L505" s="12">
        <v>46227</v>
      </c>
      <c r="M505" s="13"/>
      <c r="N505" s="14" t="s">
        <v>50</v>
      </c>
      <c r="O505" s="12">
        <v>46233</v>
      </c>
      <c r="P505" s="11">
        <f t="shared" si="42"/>
        <v>6</v>
      </c>
      <c r="Q505" s="11" t="str">
        <f t="shared" ca="1" si="43"/>
        <v>-</v>
      </c>
      <c r="R505" s="11">
        <f>IFERROR(VLOOKUP(G505,Paramètres!$B$6:$F$8,3,FALSE()),"")</f>
        <v>2</v>
      </c>
      <c r="S505" s="11" t="str">
        <f t="shared" ca="1" si="44"/>
        <v>-</v>
      </c>
      <c r="T505" s="12">
        <v>46234</v>
      </c>
      <c r="U505" s="11">
        <f t="shared" si="45"/>
        <v>1</v>
      </c>
      <c r="V505" s="11">
        <f t="shared" si="46"/>
        <v>0</v>
      </c>
      <c r="W505" s="11" t="str">
        <f t="shared" si="47"/>
        <v>Dans les délais</v>
      </c>
    </row>
    <row r="506" spans="1:23">
      <c r="A506" s="11">
        <v>490</v>
      </c>
      <c r="B506" s="12">
        <v>46227</v>
      </c>
      <c r="C506" s="13" t="s">
        <v>1323</v>
      </c>
      <c r="D506" s="13" t="s">
        <v>96</v>
      </c>
      <c r="E506" s="13"/>
      <c r="F506" s="13" t="s">
        <v>1324</v>
      </c>
      <c r="G506" s="11" t="s">
        <v>39</v>
      </c>
      <c r="H506" s="11">
        <f>IFERROR(VLOOKUP(G506,Paramètres!$B$6:$F$8,2,FALSE()),"")</f>
        <v>5</v>
      </c>
      <c r="I506" s="13" t="s">
        <v>98</v>
      </c>
      <c r="J506" s="11" t="s">
        <v>41</v>
      </c>
      <c r="K506" s="12">
        <v>46227</v>
      </c>
      <c r="L506" s="12">
        <v>46227</v>
      </c>
      <c r="M506" s="13" t="s">
        <v>49</v>
      </c>
      <c r="N506" s="14" t="s">
        <v>87</v>
      </c>
      <c r="O506" s="12">
        <v>46232</v>
      </c>
      <c r="P506" s="11">
        <f t="shared" si="42"/>
        <v>5</v>
      </c>
      <c r="Q506" s="11" t="str">
        <f t="shared" ca="1" si="43"/>
        <v>-</v>
      </c>
      <c r="R506" s="11">
        <f>IFERROR(VLOOKUP(G506,Paramètres!$B$6:$F$8,3,FALSE()),"")</f>
        <v>2</v>
      </c>
      <c r="S506" s="11" t="str">
        <f t="shared" ca="1" si="44"/>
        <v>-</v>
      </c>
      <c r="T506" s="12">
        <v>46232</v>
      </c>
      <c r="U506" s="11">
        <f t="shared" si="45"/>
        <v>0</v>
      </c>
      <c r="V506" s="11">
        <f t="shared" si="46"/>
        <v>-2</v>
      </c>
      <c r="W506" s="11" t="str">
        <f t="shared" si="47"/>
        <v>Dans les délais</v>
      </c>
    </row>
    <row r="507" spans="1:23" ht="28.5">
      <c r="A507" s="11">
        <v>491</v>
      </c>
      <c r="B507" s="12">
        <v>46230</v>
      </c>
      <c r="C507" s="13" t="s">
        <v>1325</v>
      </c>
      <c r="D507" s="13" t="s">
        <v>68</v>
      </c>
      <c r="E507" s="13"/>
      <c r="F507" s="13" t="s">
        <v>1326</v>
      </c>
      <c r="G507" s="11" t="s">
        <v>39</v>
      </c>
      <c r="H507" s="11">
        <f>IFERROR(VLOOKUP(G507,Paramètres!$B$6:$F$8,2,FALSE()),"")</f>
        <v>5</v>
      </c>
      <c r="I507" s="13" t="s">
        <v>232</v>
      </c>
      <c r="J507" s="11" t="s">
        <v>55</v>
      </c>
      <c r="K507" s="12">
        <v>46230</v>
      </c>
      <c r="L507" s="12">
        <v>46230</v>
      </c>
      <c r="M507" s="13" t="s">
        <v>75</v>
      </c>
      <c r="N507" s="14" t="s">
        <v>66</v>
      </c>
      <c r="O507" s="12">
        <v>46238</v>
      </c>
      <c r="P507" s="11">
        <f t="shared" si="42"/>
        <v>8</v>
      </c>
      <c r="Q507" s="11" t="str">
        <f t="shared" ca="1" si="43"/>
        <v>-</v>
      </c>
      <c r="R507" s="11">
        <f>IFERROR(VLOOKUP(G507,Paramètres!$B$6:$F$8,3,FALSE()),"")</f>
        <v>2</v>
      </c>
      <c r="S507" s="11" t="str">
        <f t="shared" ca="1" si="44"/>
        <v>-</v>
      </c>
      <c r="T507" s="12">
        <v>46240</v>
      </c>
      <c r="U507" s="11">
        <f t="shared" si="45"/>
        <v>2</v>
      </c>
      <c r="V507" s="11">
        <f t="shared" si="46"/>
        <v>3</v>
      </c>
      <c r="W507" s="11" t="str">
        <f t="shared" si="47"/>
        <v>Hors délais</v>
      </c>
    </row>
    <row r="508" spans="1:23">
      <c r="A508" s="11">
        <v>492</v>
      </c>
      <c r="B508" s="12">
        <v>46230</v>
      </c>
      <c r="C508" s="13" t="s">
        <v>1327</v>
      </c>
      <c r="D508" s="13" t="s">
        <v>175</v>
      </c>
      <c r="E508" s="13" t="s">
        <v>1328</v>
      </c>
      <c r="F508" s="13" t="s">
        <v>1329</v>
      </c>
      <c r="G508" s="11" t="s">
        <v>39</v>
      </c>
      <c r="H508" s="11">
        <f>IFERROR(VLOOKUP(G508,Paramètres!$B$6:$F$8,2,FALSE()),"")</f>
        <v>5</v>
      </c>
      <c r="I508" s="13" t="s">
        <v>426</v>
      </c>
      <c r="J508" s="11" t="s">
        <v>41</v>
      </c>
      <c r="K508" s="12">
        <v>46230</v>
      </c>
      <c r="L508" s="12">
        <v>46230</v>
      </c>
      <c r="M508" s="13" t="s">
        <v>56</v>
      </c>
      <c r="N508" s="14" t="s">
        <v>87</v>
      </c>
      <c r="O508" s="12">
        <v>46233</v>
      </c>
      <c r="P508" s="11">
        <f t="shared" si="42"/>
        <v>3</v>
      </c>
      <c r="Q508" s="11" t="str">
        <f t="shared" ca="1" si="43"/>
        <v>-</v>
      </c>
      <c r="R508" s="11">
        <f>IFERROR(VLOOKUP(G508,Paramètres!$B$6:$F$8,3,FALSE()),"")</f>
        <v>2</v>
      </c>
      <c r="S508" s="11" t="str">
        <f t="shared" ca="1" si="44"/>
        <v>-</v>
      </c>
      <c r="T508" s="12">
        <v>46240</v>
      </c>
      <c r="U508" s="11">
        <f t="shared" si="45"/>
        <v>7</v>
      </c>
      <c r="V508" s="11">
        <f t="shared" si="46"/>
        <v>3</v>
      </c>
      <c r="W508" s="11" t="str">
        <f t="shared" si="47"/>
        <v>Hors délais</v>
      </c>
    </row>
    <row r="509" spans="1:23">
      <c r="A509" s="11">
        <v>493</v>
      </c>
      <c r="B509" s="12">
        <v>46230</v>
      </c>
      <c r="C509" s="13" t="s">
        <v>1330</v>
      </c>
      <c r="D509" s="13" t="s">
        <v>137</v>
      </c>
      <c r="E509" s="13" t="s">
        <v>1331</v>
      </c>
      <c r="F509" s="13" t="s">
        <v>1332</v>
      </c>
      <c r="G509" s="11" t="s">
        <v>39</v>
      </c>
      <c r="H509" s="11">
        <f>IFERROR(VLOOKUP(G509,Paramètres!$B$6:$F$8,2,FALSE()),"")</f>
        <v>5</v>
      </c>
      <c r="I509" s="13" t="s">
        <v>54</v>
      </c>
      <c r="J509" s="11" t="s">
        <v>55</v>
      </c>
      <c r="K509" s="12">
        <v>46230</v>
      </c>
      <c r="L509" s="12">
        <v>46230</v>
      </c>
      <c r="M509" s="13" t="s">
        <v>86</v>
      </c>
      <c r="N509" s="14" t="s">
        <v>57</v>
      </c>
      <c r="O509" s="12">
        <v>46239</v>
      </c>
      <c r="P509" s="11">
        <f t="shared" si="42"/>
        <v>9</v>
      </c>
      <c r="Q509" s="11" t="str">
        <f t="shared" ca="1" si="43"/>
        <v>-</v>
      </c>
      <c r="R509" s="11">
        <f>IFERROR(VLOOKUP(G509,Paramètres!$B$6:$F$8,3,FALSE()),"")</f>
        <v>2</v>
      </c>
      <c r="S509" s="11" t="str">
        <f t="shared" ca="1" si="44"/>
        <v>-</v>
      </c>
      <c r="T509" s="12">
        <v>46246</v>
      </c>
      <c r="U509" s="11">
        <f t="shared" si="45"/>
        <v>7</v>
      </c>
      <c r="V509" s="11">
        <f t="shared" si="46"/>
        <v>9</v>
      </c>
      <c r="W509" s="11" t="str">
        <f t="shared" si="47"/>
        <v>Hors délais</v>
      </c>
    </row>
    <row r="510" spans="1:23">
      <c r="A510" s="11">
        <v>494</v>
      </c>
      <c r="B510" s="12">
        <v>46230</v>
      </c>
      <c r="C510" s="13" t="s">
        <v>1333</v>
      </c>
      <c r="D510" s="13" t="s">
        <v>68</v>
      </c>
      <c r="E510" s="13" t="s">
        <v>1334</v>
      </c>
      <c r="F510" s="13" t="s">
        <v>1335</v>
      </c>
      <c r="G510" s="11" t="s">
        <v>39</v>
      </c>
      <c r="H510" s="11">
        <f>IFERROR(VLOOKUP(G510,Paramètres!$B$6:$F$8,2,FALSE()),"")</f>
        <v>5</v>
      </c>
      <c r="I510" s="13" t="s">
        <v>54</v>
      </c>
      <c r="J510" s="11" t="s">
        <v>55</v>
      </c>
      <c r="K510" s="12">
        <v>46230</v>
      </c>
      <c r="L510" s="12">
        <v>46230</v>
      </c>
      <c r="M510" s="13" t="s">
        <v>49</v>
      </c>
      <c r="N510" s="14" t="s">
        <v>57</v>
      </c>
      <c r="O510" s="12">
        <v>46234</v>
      </c>
      <c r="P510" s="11">
        <f t="shared" si="42"/>
        <v>4</v>
      </c>
      <c r="Q510" s="11" t="str">
        <f t="shared" ca="1" si="43"/>
        <v>-</v>
      </c>
      <c r="R510" s="11">
        <f>IFERROR(VLOOKUP(G510,Paramètres!$B$6:$F$8,3,FALSE()),"")</f>
        <v>2</v>
      </c>
      <c r="S510" s="11" t="str">
        <f t="shared" ca="1" si="44"/>
        <v>-</v>
      </c>
      <c r="T510" s="12">
        <v>46237</v>
      </c>
      <c r="U510" s="11">
        <f t="shared" si="45"/>
        <v>3</v>
      </c>
      <c r="V510" s="11">
        <f t="shared" si="46"/>
        <v>0</v>
      </c>
      <c r="W510" s="11" t="str">
        <f t="shared" si="47"/>
        <v>Dans les délais</v>
      </c>
    </row>
    <row r="511" spans="1:23">
      <c r="A511" s="11">
        <v>495</v>
      </c>
      <c r="B511" s="12">
        <v>46230</v>
      </c>
      <c r="C511" s="13" t="s">
        <v>1336</v>
      </c>
      <c r="D511" s="13" t="s">
        <v>96</v>
      </c>
      <c r="E511" s="13" t="s">
        <v>1337</v>
      </c>
      <c r="F511" s="13" t="s">
        <v>1338</v>
      </c>
      <c r="G511" s="11" t="s">
        <v>39</v>
      </c>
      <c r="H511" s="11">
        <f>IFERROR(VLOOKUP(G511,Paramètres!$B$6:$F$8,2,FALSE()),"")</f>
        <v>5</v>
      </c>
      <c r="I511" s="13" t="s">
        <v>85</v>
      </c>
      <c r="J511" s="11" t="s">
        <v>41</v>
      </c>
      <c r="K511" s="12">
        <v>46230</v>
      </c>
      <c r="L511" s="12">
        <v>46231</v>
      </c>
      <c r="M511" s="13"/>
      <c r="N511" s="14" t="s">
        <v>76</v>
      </c>
      <c r="O511" s="12">
        <v>46237</v>
      </c>
      <c r="P511" s="11">
        <f t="shared" si="42"/>
        <v>7</v>
      </c>
      <c r="Q511" s="11" t="str">
        <f t="shared" ca="1" si="43"/>
        <v>-</v>
      </c>
      <c r="R511" s="11">
        <f>IFERROR(VLOOKUP(G511,Paramètres!$B$6:$F$8,3,FALSE()),"")</f>
        <v>2</v>
      </c>
      <c r="S511" s="11" t="str">
        <f t="shared" ca="1" si="44"/>
        <v>-</v>
      </c>
      <c r="T511" s="12">
        <v>46237</v>
      </c>
      <c r="U511" s="11">
        <f t="shared" si="45"/>
        <v>0</v>
      </c>
      <c r="V511" s="11">
        <f t="shared" si="46"/>
        <v>0</v>
      </c>
      <c r="W511" s="11" t="str">
        <f t="shared" si="47"/>
        <v>Dans les délais</v>
      </c>
    </row>
    <row r="512" spans="1:23">
      <c r="A512" s="11">
        <v>496</v>
      </c>
      <c r="B512" s="12">
        <v>46231</v>
      </c>
      <c r="C512" s="13" t="s">
        <v>1339</v>
      </c>
      <c r="D512" s="13" t="s">
        <v>345</v>
      </c>
      <c r="E512" s="13"/>
      <c r="F512" s="13" t="s">
        <v>1340</v>
      </c>
      <c r="G512" s="11" t="s">
        <v>39</v>
      </c>
      <c r="H512" s="11">
        <f>IFERROR(VLOOKUP(G512,Paramètres!$B$6:$F$8,2,FALSE()),"")</f>
        <v>5</v>
      </c>
      <c r="I512" s="13" t="s">
        <v>130</v>
      </c>
      <c r="J512" s="11" t="s">
        <v>48</v>
      </c>
      <c r="K512" s="12">
        <v>46232</v>
      </c>
      <c r="L512" s="12">
        <v>46233</v>
      </c>
      <c r="M512" s="13" t="s">
        <v>49</v>
      </c>
      <c r="N512" s="14" t="s">
        <v>121</v>
      </c>
      <c r="O512" s="12">
        <v>46238</v>
      </c>
      <c r="P512" s="11">
        <f t="shared" si="42"/>
        <v>7</v>
      </c>
      <c r="Q512" s="11" t="str">
        <f t="shared" ca="1" si="43"/>
        <v>-</v>
      </c>
      <c r="R512" s="11">
        <f>IFERROR(VLOOKUP(G512,Paramètres!$B$6:$F$8,3,FALSE()),"")</f>
        <v>2</v>
      </c>
      <c r="S512" s="11" t="str">
        <f t="shared" ca="1" si="44"/>
        <v>-</v>
      </c>
      <c r="T512" s="12">
        <v>46239</v>
      </c>
      <c r="U512" s="11">
        <f t="shared" si="45"/>
        <v>1</v>
      </c>
      <c r="V512" s="11">
        <f t="shared" si="46"/>
        <v>1</v>
      </c>
      <c r="W512" s="11" t="str">
        <f t="shared" si="47"/>
        <v>Hors délais</v>
      </c>
    </row>
    <row r="513" spans="1:23">
      <c r="A513" s="11">
        <v>497</v>
      </c>
      <c r="B513" s="12">
        <v>46231</v>
      </c>
      <c r="C513" s="13" t="s">
        <v>1341</v>
      </c>
      <c r="D513" s="13" t="s">
        <v>178</v>
      </c>
      <c r="E513" s="13"/>
      <c r="F513" s="13" t="s">
        <v>1342</v>
      </c>
      <c r="G513" s="11" t="s">
        <v>39</v>
      </c>
      <c r="H513" s="11">
        <f>IFERROR(VLOOKUP(G513,Paramètres!$B$6:$F$8,2,FALSE()),"")</f>
        <v>5</v>
      </c>
      <c r="I513" s="13" t="s">
        <v>240</v>
      </c>
      <c r="J513" s="11" t="s">
        <v>55</v>
      </c>
      <c r="K513" s="12">
        <v>46231</v>
      </c>
      <c r="L513" s="12">
        <v>46231</v>
      </c>
      <c r="M513" s="13" t="s">
        <v>42</v>
      </c>
      <c r="N513" s="14" t="s">
        <v>57</v>
      </c>
      <c r="O513" s="12">
        <v>46238</v>
      </c>
      <c r="P513" s="11">
        <f t="shared" si="42"/>
        <v>7</v>
      </c>
      <c r="Q513" s="11" t="str">
        <f t="shared" ca="1" si="43"/>
        <v>-</v>
      </c>
      <c r="R513" s="11">
        <f>IFERROR(VLOOKUP(G513,Paramètres!$B$6:$F$8,3,FALSE()),"")</f>
        <v>2</v>
      </c>
      <c r="S513" s="11" t="str">
        <f t="shared" ca="1" si="44"/>
        <v>-</v>
      </c>
      <c r="T513" s="12">
        <v>46240</v>
      </c>
      <c r="U513" s="11">
        <f t="shared" si="45"/>
        <v>2</v>
      </c>
      <c r="V513" s="11">
        <f t="shared" si="46"/>
        <v>2</v>
      </c>
      <c r="W513" s="11" t="str">
        <f t="shared" si="47"/>
        <v>Hors délais</v>
      </c>
    </row>
    <row r="514" spans="1:23">
      <c r="A514" s="11">
        <v>498</v>
      </c>
      <c r="B514" s="12">
        <v>46231</v>
      </c>
      <c r="C514" s="13" t="s">
        <v>1343</v>
      </c>
      <c r="D514" s="13" t="s">
        <v>248</v>
      </c>
      <c r="E514" s="13" t="s">
        <v>1344</v>
      </c>
      <c r="F514" s="13" t="s">
        <v>1345</v>
      </c>
      <c r="G514" s="11" t="s">
        <v>53</v>
      </c>
      <c r="H514" s="11" t="str">
        <f>IFERROR(VLOOKUP(G514,Paramètres!$B$6:$F$8,2,FALSE()),"")</f>
        <v>N/A</v>
      </c>
      <c r="I514" s="13" t="s">
        <v>232</v>
      </c>
      <c r="J514" s="11" t="s">
        <v>55</v>
      </c>
      <c r="K514" s="12">
        <v>46231</v>
      </c>
      <c r="L514" s="12">
        <v>46231</v>
      </c>
      <c r="M514" s="13"/>
      <c r="N514" s="14" t="s">
        <v>102</v>
      </c>
      <c r="O514" s="12"/>
      <c r="P514" s="11" t="str">
        <f t="shared" si="42"/>
        <v>-</v>
      </c>
      <c r="Q514" s="11" t="str">
        <f t="shared" ca="1" si="43"/>
        <v>-</v>
      </c>
      <c r="R514" s="11" t="str">
        <f>IFERROR(VLOOKUP(G514,Paramètres!$B$6:$F$8,3,FALSE()),"")</f>
        <v>N/A</v>
      </c>
      <c r="S514" s="11" t="str">
        <f t="shared" ca="1" si="44"/>
        <v>-</v>
      </c>
      <c r="T514" s="12"/>
      <c r="U514" s="11" t="str">
        <f t="shared" si="45"/>
        <v>-</v>
      </c>
      <c r="V514" s="11" t="str">
        <f t="shared" si="46"/>
        <v>-</v>
      </c>
      <c r="W514" s="11" t="str">
        <f t="shared" si="47"/>
        <v>Ne nécessite pas de réponse</v>
      </c>
    </row>
    <row r="515" spans="1:23">
      <c r="A515" s="11">
        <v>499</v>
      </c>
      <c r="B515" s="12">
        <v>46231</v>
      </c>
      <c r="C515" s="13" t="s">
        <v>1346</v>
      </c>
      <c r="D515" s="13" t="s">
        <v>96</v>
      </c>
      <c r="E515" s="13" t="s">
        <v>1347</v>
      </c>
      <c r="F515" s="13" t="s">
        <v>1348</v>
      </c>
      <c r="G515" s="11" t="s">
        <v>39</v>
      </c>
      <c r="H515" s="11">
        <f>IFERROR(VLOOKUP(G515,Paramètres!$B$6:$F$8,2,FALSE()),"")</f>
        <v>5</v>
      </c>
      <c r="I515" s="13" t="s">
        <v>240</v>
      </c>
      <c r="J515" s="11" t="s">
        <v>55</v>
      </c>
      <c r="K515" s="12">
        <v>46231</v>
      </c>
      <c r="L515" s="12">
        <v>46232</v>
      </c>
      <c r="M515" s="13" t="s">
        <v>61</v>
      </c>
      <c r="N515" s="14" t="s">
        <v>66</v>
      </c>
      <c r="O515" s="12">
        <v>46238</v>
      </c>
      <c r="P515" s="11">
        <f t="shared" si="42"/>
        <v>7</v>
      </c>
      <c r="Q515" s="11" t="str">
        <f t="shared" ca="1" si="43"/>
        <v>-</v>
      </c>
      <c r="R515" s="11">
        <f>IFERROR(VLOOKUP(G515,Paramètres!$B$6:$F$8,3,FALSE()),"")</f>
        <v>2</v>
      </c>
      <c r="S515" s="11" t="str">
        <f t="shared" ca="1" si="44"/>
        <v>-</v>
      </c>
      <c r="T515" s="12">
        <v>46239</v>
      </c>
      <c r="U515" s="11">
        <f t="shared" si="45"/>
        <v>1</v>
      </c>
      <c r="V515" s="11">
        <f t="shared" si="46"/>
        <v>1</v>
      </c>
      <c r="W515" s="11" t="str">
        <f t="shared" si="47"/>
        <v>Hors délais</v>
      </c>
    </row>
    <row r="516" spans="1:23">
      <c r="A516" s="11">
        <v>500</v>
      </c>
      <c r="B516" s="12">
        <v>46232</v>
      </c>
      <c r="C516" s="13" t="s">
        <v>1349</v>
      </c>
      <c r="D516" s="13" t="s">
        <v>45</v>
      </c>
      <c r="E516" s="13" t="s">
        <v>1350</v>
      </c>
      <c r="F516" s="13" t="s">
        <v>1351</v>
      </c>
      <c r="G516" s="11" t="s">
        <v>39</v>
      </c>
      <c r="H516" s="11">
        <f>IFERROR(VLOOKUP(G516,Paramètres!$B$6:$F$8,2,FALSE()),"")</f>
        <v>5</v>
      </c>
      <c r="I516" s="13" t="s">
        <v>65</v>
      </c>
      <c r="J516" s="11" t="s">
        <v>55</v>
      </c>
      <c r="K516" s="12">
        <v>46232</v>
      </c>
      <c r="L516" s="12">
        <v>46232</v>
      </c>
      <c r="M516" s="13" t="s">
        <v>56</v>
      </c>
      <c r="N516" s="14" t="s">
        <v>57</v>
      </c>
      <c r="O516" s="12">
        <v>46248</v>
      </c>
      <c r="P516" s="11">
        <f t="shared" si="42"/>
        <v>16</v>
      </c>
      <c r="Q516" s="11" t="str">
        <f t="shared" ca="1" si="43"/>
        <v>-</v>
      </c>
      <c r="R516" s="11">
        <f>IFERROR(VLOOKUP(G516,Paramètres!$B$6:$F$8,3,FALSE()),"")</f>
        <v>2</v>
      </c>
      <c r="S516" s="11" t="str">
        <f t="shared" ca="1" si="44"/>
        <v>-</v>
      </c>
      <c r="T516" s="12">
        <v>46251</v>
      </c>
      <c r="U516" s="11">
        <f t="shared" si="45"/>
        <v>3</v>
      </c>
      <c r="V516" s="11">
        <f t="shared" si="46"/>
        <v>12</v>
      </c>
      <c r="W516" s="11" t="str">
        <f t="shared" si="47"/>
        <v>Hors délais</v>
      </c>
    </row>
    <row r="517" spans="1:23">
      <c r="A517" s="11">
        <v>501</v>
      </c>
      <c r="B517" s="12">
        <v>46233</v>
      </c>
      <c r="C517" s="13" t="s">
        <v>1352</v>
      </c>
      <c r="D517" s="13" t="s">
        <v>137</v>
      </c>
      <c r="E517" s="13" t="s">
        <v>1353</v>
      </c>
      <c r="F517" s="13" t="s">
        <v>1354</v>
      </c>
      <c r="G517" s="11" t="s">
        <v>39</v>
      </c>
      <c r="H517" s="11">
        <f>IFERROR(VLOOKUP(G517,Paramètres!$B$6:$F$8,2,FALSE()),"")</f>
        <v>5</v>
      </c>
      <c r="I517" s="13" t="s">
        <v>228</v>
      </c>
      <c r="J517" s="11" t="s">
        <v>55</v>
      </c>
      <c r="K517" s="12">
        <v>46234</v>
      </c>
      <c r="L517" s="12">
        <v>46234</v>
      </c>
      <c r="M517" s="13" t="s">
        <v>49</v>
      </c>
      <c r="N517" s="14" t="s">
        <v>57</v>
      </c>
      <c r="O517" s="12">
        <v>46238</v>
      </c>
      <c r="P517" s="11">
        <f t="shared" si="42"/>
        <v>5</v>
      </c>
      <c r="Q517" s="11" t="str">
        <f t="shared" ca="1" si="43"/>
        <v>-</v>
      </c>
      <c r="R517" s="11">
        <f>IFERROR(VLOOKUP(G517,Paramètres!$B$6:$F$8,3,FALSE()),"")</f>
        <v>2</v>
      </c>
      <c r="S517" s="11" t="str">
        <f t="shared" ca="1" si="44"/>
        <v>-</v>
      </c>
      <c r="T517" s="12">
        <v>46245</v>
      </c>
      <c r="U517" s="11">
        <f t="shared" si="45"/>
        <v>7</v>
      </c>
      <c r="V517" s="11">
        <f t="shared" si="46"/>
        <v>5</v>
      </c>
      <c r="W517" s="11" t="str">
        <f t="shared" si="47"/>
        <v>Hors délais</v>
      </c>
    </row>
    <row r="518" spans="1:23">
      <c r="A518" s="11">
        <v>502</v>
      </c>
      <c r="B518" s="12">
        <v>46233</v>
      </c>
      <c r="C518" s="13" t="s">
        <v>1355</v>
      </c>
      <c r="D518" s="13" t="s">
        <v>104</v>
      </c>
      <c r="E518" s="13" t="s">
        <v>1356</v>
      </c>
      <c r="F518" s="13" t="s">
        <v>1357</v>
      </c>
      <c r="G518" s="11" t="s">
        <v>39</v>
      </c>
      <c r="H518" s="11">
        <f>IFERROR(VLOOKUP(G518,Paramètres!$B$6:$F$8,2,FALSE()),"")</f>
        <v>5</v>
      </c>
      <c r="I518" s="13" t="s">
        <v>98</v>
      </c>
      <c r="J518" s="11" t="s">
        <v>41</v>
      </c>
      <c r="K518" s="12">
        <v>46234</v>
      </c>
      <c r="L518" s="12">
        <v>46237</v>
      </c>
      <c r="M518" s="13" t="s">
        <v>61</v>
      </c>
      <c r="N518" s="14" t="s">
        <v>43</v>
      </c>
      <c r="O518" s="12">
        <v>46244</v>
      </c>
      <c r="P518" s="11">
        <f t="shared" si="42"/>
        <v>11</v>
      </c>
      <c r="Q518" s="11" t="str">
        <f t="shared" ca="1" si="43"/>
        <v>-</v>
      </c>
      <c r="R518" s="11">
        <f>IFERROR(VLOOKUP(G518,Paramètres!$B$6:$F$8,3,FALSE()),"")</f>
        <v>2</v>
      </c>
      <c r="S518" s="11" t="str">
        <f t="shared" ca="1" si="44"/>
        <v>-</v>
      </c>
      <c r="T518" s="12">
        <v>46251</v>
      </c>
      <c r="U518" s="11">
        <f t="shared" si="45"/>
        <v>7</v>
      </c>
      <c r="V518" s="11">
        <f t="shared" si="46"/>
        <v>11</v>
      </c>
      <c r="W518" s="11" t="str">
        <f t="shared" si="47"/>
        <v>Hors délais</v>
      </c>
    </row>
    <row r="519" spans="1:23">
      <c r="A519" s="11">
        <v>503</v>
      </c>
      <c r="B519" s="12">
        <v>46234</v>
      </c>
      <c r="C519" s="13" t="s">
        <v>1358</v>
      </c>
      <c r="D519" s="13" t="s">
        <v>118</v>
      </c>
      <c r="E519" s="13"/>
      <c r="F519" s="13" t="s">
        <v>1359</v>
      </c>
      <c r="G519" s="11" t="s">
        <v>39</v>
      </c>
      <c r="H519" s="11">
        <f>IFERROR(VLOOKUP(G519,Paramètres!$B$6:$F$8,2,FALSE()),"")</f>
        <v>5</v>
      </c>
      <c r="I519" s="13" t="s">
        <v>130</v>
      </c>
      <c r="J519" s="11" t="s">
        <v>48</v>
      </c>
      <c r="K519" s="12">
        <v>46237</v>
      </c>
      <c r="L519" s="12">
        <v>46237</v>
      </c>
      <c r="M519" s="13" t="s">
        <v>61</v>
      </c>
      <c r="N519" s="14" t="s">
        <v>186</v>
      </c>
      <c r="O519" s="12">
        <v>46247</v>
      </c>
      <c r="P519" s="11">
        <f t="shared" si="42"/>
        <v>13</v>
      </c>
      <c r="Q519" s="11" t="str">
        <f t="shared" ca="1" si="43"/>
        <v>-</v>
      </c>
      <c r="R519" s="11">
        <f>IFERROR(VLOOKUP(G519,Paramètres!$B$6:$F$8,3,FALSE()),"")</f>
        <v>2</v>
      </c>
      <c r="S519" s="11" t="str">
        <f t="shared" ca="1" si="44"/>
        <v>-</v>
      </c>
      <c r="T519" s="12">
        <v>46254</v>
      </c>
      <c r="U519" s="11">
        <f t="shared" si="45"/>
        <v>7</v>
      </c>
      <c r="V519" s="11">
        <f t="shared" si="46"/>
        <v>13</v>
      </c>
      <c r="W519" s="11" t="str">
        <f t="shared" si="47"/>
        <v>Hors délais</v>
      </c>
    </row>
    <row r="520" spans="1:23">
      <c r="A520" s="11">
        <v>504</v>
      </c>
      <c r="B520" s="12">
        <v>46234</v>
      </c>
      <c r="C520" s="13" t="s">
        <v>1360</v>
      </c>
      <c r="D520" s="13" t="s">
        <v>37</v>
      </c>
      <c r="E520" s="13"/>
      <c r="F520" s="13" t="s">
        <v>1361</v>
      </c>
      <c r="G520" s="11" t="s">
        <v>39</v>
      </c>
      <c r="H520" s="11">
        <f>IFERROR(VLOOKUP(G520,Paramètres!$B$6:$F$8,2,FALSE()),"")</f>
        <v>5</v>
      </c>
      <c r="I520" s="13" t="s">
        <v>54</v>
      </c>
      <c r="J520" s="11" t="s">
        <v>55</v>
      </c>
      <c r="K520" s="12">
        <v>46237</v>
      </c>
      <c r="L520" s="12">
        <v>46238</v>
      </c>
      <c r="M520" s="13" t="s">
        <v>56</v>
      </c>
      <c r="N520" s="14" t="s">
        <v>102</v>
      </c>
      <c r="O520" s="12">
        <v>46238</v>
      </c>
      <c r="P520" s="11">
        <f t="shared" si="42"/>
        <v>4</v>
      </c>
      <c r="Q520" s="11" t="str">
        <f t="shared" ca="1" si="43"/>
        <v>-</v>
      </c>
      <c r="R520" s="11">
        <f>IFERROR(VLOOKUP(G520,Paramètres!$B$6:$F$8,3,FALSE()),"")</f>
        <v>2</v>
      </c>
      <c r="S520" s="11" t="str">
        <f t="shared" ca="1" si="44"/>
        <v>-</v>
      </c>
      <c r="T520" s="12">
        <v>46241</v>
      </c>
      <c r="U520" s="11">
        <f t="shared" si="45"/>
        <v>3</v>
      </c>
      <c r="V520" s="11">
        <f t="shared" si="46"/>
        <v>0</v>
      </c>
      <c r="W520" s="11" t="str">
        <f t="shared" si="47"/>
        <v>Dans les délais</v>
      </c>
    </row>
    <row r="521" spans="1:23">
      <c r="A521" s="11">
        <v>505</v>
      </c>
      <c r="B521" s="12">
        <v>46234</v>
      </c>
      <c r="C521" s="13" t="s">
        <v>1362</v>
      </c>
      <c r="D521" s="13" t="s">
        <v>248</v>
      </c>
      <c r="E521" s="13"/>
      <c r="F521" s="13" t="s">
        <v>1363</v>
      </c>
      <c r="G521" s="11" t="s">
        <v>39</v>
      </c>
      <c r="H521" s="11">
        <f>IFERROR(VLOOKUP(G521,Paramètres!$B$6:$F$8,2,FALSE()),"")</f>
        <v>5</v>
      </c>
      <c r="I521" s="13" t="s">
        <v>47</v>
      </c>
      <c r="J521" s="11" t="s">
        <v>48</v>
      </c>
      <c r="K521" s="12">
        <v>46237</v>
      </c>
      <c r="L521" s="12">
        <v>46237</v>
      </c>
      <c r="M521" s="13" t="s">
        <v>49</v>
      </c>
      <c r="N521" s="14" t="s">
        <v>186</v>
      </c>
      <c r="O521" s="12">
        <v>46241</v>
      </c>
      <c r="P521" s="11">
        <f t="shared" si="42"/>
        <v>7</v>
      </c>
      <c r="Q521" s="11" t="str">
        <f t="shared" ca="1" si="43"/>
        <v>-</v>
      </c>
      <c r="R521" s="11">
        <f>IFERROR(VLOOKUP(G521,Paramètres!$B$6:$F$8,3,FALSE()),"")</f>
        <v>2</v>
      </c>
      <c r="S521" s="11" t="str">
        <f t="shared" ca="1" si="44"/>
        <v>-</v>
      </c>
      <c r="T521" s="12">
        <v>46244</v>
      </c>
      <c r="U521" s="11">
        <f t="shared" si="45"/>
        <v>3</v>
      </c>
      <c r="V521" s="11">
        <f t="shared" si="46"/>
        <v>3</v>
      </c>
      <c r="W521" s="11" t="str">
        <f t="shared" si="47"/>
        <v>Hors délais</v>
      </c>
    </row>
    <row r="522" spans="1:23">
      <c r="A522" s="11">
        <v>506</v>
      </c>
      <c r="B522" s="12">
        <v>46234</v>
      </c>
      <c r="C522" s="13" t="s">
        <v>1364</v>
      </c>
      <c r="D522" s="13" t="s">
        <v>230</v>
      </c>
      <c r="E522" s="13" t="s">
        <v>1365</v>
      </c>
      <c r="F522" s="13" t="s">
        <v>1366</v>
      </c>
      <c r="G522" s="11" t="s">
        <v>39</v>
      </c>
      <c r="H522" s="11">
        <f>IFERROR(VLOOKUP(G522,Paramètres!$B$6:$F$8,2,FALSE()),"")</f>
        <v>5</v>
      </c>
      <c r="I522" s="13" t="s">
        <v>228</v>
      </c>
      <c r="J522" s="11" t="s">
        <v>55</v>
      </c>
      <c r="K522" s="12">
        <v>46234</v>
      </c>
      <c r="L522" s="12">
        <v>46234</v>
      </c>
      <c r="M522" s="13" t="s">
        <v>49</v>
      </c>
      <c r="N522" s="14" t="s">
        <v>66</v>
      </c>
      <c r="O522" s="12">
        <v>46239</v>
      </c>
      <c r="P522" s="11">
        <f t="shared" si="42"/>
        <v>5</v>
      </c>
      <c r="Q522" s="11" t="str">
        <f t="shared" ca="1" si="43"/>
        <v>-</v>
      </c>
      <c r="R522" s="11">
        <f>IFERROR(VLOOKUP(G522,Paramètres!$B$6:$F$8,3,FALSE()),"")</f>
        <v>2</v>
      </c>
      <c r="S522" s="11" t="str">
        <f t="shared" ca="1" si="44"/>
        <v>-</v>
      </c>
      <c r="T522" s="12">
        <v>46244</v>
      </c>
      <c r="U522" s="11">
        <f t="shared" si="45"/>
        <v>5</v>
      </c>
      <c r="V522" s="11">
        <f t="shared" si="46"/>
        <v>3</v>
      </c>
      <c r="W522" s="11" t="str">
        <f t="shared" si="47"/>
        <v>Hors délais</v>
      </c>
    </row>
    <row r="523" spans="1:23" ht="28.5">
      <c r="A523" s="11">
        <v>507</v>
      </c>
      <c r="B523" s="12">
        <v>46237</v>
      </c>
      <c r="C523" s="13" t="s">
        <v>1367</v>
      </c>
      <c r="D523" s="13" t="s">
        <v>118</v>
      </c>
      <c r="E523" s="13"/>
      <c r="F523" s="13" t="s">
        <v>1368</v>
      </c>
      <c r="G523" s="11" t="s">
        <v>53</v>
      </c>
      <c r="H523" s="11" t="str">
        <f>IFERROR(VLOOKUP(G523,Paramètres!$B$6:$F$8,2,FALSE()),"")</f>
        <v>N/A</v>
      </c>
      <c r="I523" s="13" t="s">
        <v>130</v>
      </c>
      <c r="J523" s="11" t="s">
        <v>48</v>
      </c>
      <c r="K523" s="12">
        <v>46237</v>
      </c>
      <c r="L523" s="12">
        <v>46238</v>
      </c>
      <c r="M523" s="13" t="s">
        <v>75</v>
      </c>
      <c r="N523" s="14" t="s">
        <v>121</v>
      </c>
      <c r="O523" s="12"/>
      <c r="P523" s="11" t="str">
        <f t="shared" si="42"/>
        <v>-</v>
      </c>
      <c r="Q523" s="11" t="str">
        <f t="shared" ca="1" si="43"/>
        <v>-</v>
      </c>
      <c r="R523" s="11" t="str">
        <f>IFERROR(VLOOKUP(G523,Paramètres!$B$6:$F$8,3,FALSE()),"")</f>
        <v>N/A</v>
      </c>
      <c r="S523" s="11" t="str">
        <f t="shared" ca="1" si="44"/>
        <v>-</v>
      </c>
      <c r="T523" s="12"/>
      <c r="U523" s="11" t="str">
        <f t="shared" si="45"/>
        <v>-</v>
      </c>
      <c r="V523" s="11" t="str">
        <f t="shared" si="46"/>
        <v>-</v>
      </c>
      <c r="W523" s="11" t="str">
        <f t="shared" si="47"/>
        <v>Ne nécessite pas de réponse</v>
      </c>
    </row>
    <row r="524" spans="1:23">
      <c r="A524" s="11">
        <v>508</v>
      </c>
      <c r="B524" s="12">
        <v>46237</v>
      </c>
      <c r="C524" s="13" t="s">
        <v>1369</v>
      </c>
      <c r="D524" s="13" t="s">
        <v>96</v>
      </c>
      <c r="E524" s="13" t="s">
        <v>1370</v>
      </c>
      <c r="F524" s="13" t="s">
        <v>1371</v>
      </c>
      <c r="G524" s="11" t="s">
        <v>39</v>
      </c>
      <c r="H524" s="11">
        <f>IFERROR(VLOOKUP(G524,Paramètres!$B$6:$F$8,2,FALSE()),"")</f>
        <v>5</v>
      </c>
      <c r="I524" s="13" t="s">
        <v>47</v>
      </c>
      <c r="J524" s="11" t="s">
        <v>48</v>
      </c>
      <c r="K524" s="12">
        <v>46238</v>
      </c>
      <c r="L524" s="12">
        <v>46239</v>
      </c>
      <c r="M524" s="13" t="s">
        <v>49</v>
      </c>
      <c r="N524" s="14" t="s">
        <v>121</v>
      </c>
      <c r="O524" s="12">
        <v>46244</v>
      </c>
      <c r="P524" s="11">
        <f t="shared" si="42"/>
        <v>7</v>
      </c>
      <c r="Q524" s="11" t="str">
        <f t="shared" ca="1" si="43"/>
        <v>-</v>
      </c>
      <c r="R524" s="11">
        <f>IFERROR(VLOOKUP(G524,Paramètres!$B$6:$F$8,3,FALSE()),"")</f>
        <v>2</v>
      </c>
      <c r="S524" s="11" t="str">
        <f t="shared" ca="1" si="44"/>
        <v>-</v>
      </c>
      <c r="T524" s="12">
        <v>46246</v>
      </c>
      <c r="U524" s="11">
        <f t="shared" si="45"/>
        <v>2</v>
      </c>
      <c r="V524" s="11">
        <f t="shared" si="46"/>
        <v>2</v>
      </c>
      <c r="W524" s="11" t="str">
        <f t="shared" si="47"/>
        <v>Hors délais</v>
      </c>
    </row>
    <row r="525" spans="1:23">
      <c r="A525" s="11">
        <v>509</v>
      </c>
      <c r="B525" s="12">
        <v>46237</v>
      </c>
      <c r="C525" s="13" t="s">
        <v>1372</v>
      </c>
      <c r="D525" s="13" t="s">
        <v>104</v>
      </c>
      <c r="E525" s="13" t="s">
        <v>1373</v>
      </c>
      <c r="F525" s="13" t="s">
        <v>1374</v>
      </c>
      <c r="G525" s="11" t="s">
        <v>39</v>
      </c>
      <c r="H525" s="11">
        <f>IFERROR(VLOOKUP(G525,Paramètres!$B$6:$F$8,2,FALSE()),"")</f>
        <v>5</v>
      </c>
      <c r="I525" s="13" t="s">
        <v>190</v>
      </c>
      <c r="J525" s="11" t="s">
        <v>48</v>
      </c>
      <c r="K525" s="12">
        <v>46238</v>
      </c>
      <c r="L525" s="12">
        <v>46239</v>
      </c>
      <c r="M525" s="13"/>
      <c r="N525" s="14" t="s">
        <v>121</v>
      </c>
      <c r="O525" s="12">
        <v>46240</v>
      </c>
      <c r="P525" s="11">
        <f t="shared" si="42"/>
        <v>3</v>
      </c>
      <c r="Q525" s="11" t="str">
        <f t="shared" ca="1" si="43"/>
        <v>-</v>
      </c>
      <c r="R525" s="11">
        <f>IFERROR(VLOOKUP(G525,Paramètres!$B$6:$F$8,3,FALSE()),"")</f>
        <v>2</v>
      </c>
      <c r="S525" s="11" t="str">
        <f t="shared" ca="1" si="44"/>
        <v>-</v>
      </c>
      <c r="T525" s="12">
        <v>46244</v>
      </c>
      <c r="U525" s="11">
        <f t="shared" si="45"/>
        <v>4</v>
      </c>
      <c r="V525" s="11">
        <f t="shared" si="46"/>
        <v>0</v>
      </c>
      <c r="W525" s="11" t="str">
        <f t="shared" si="47"/>
        <v>Dans les délais</v>
      </c>
    </row>
    <row r="526" spans="1:23">
      <c r="A526" s="11">
        <v>510</v>
      </c>
      <c r="B526" s="12">
        <v>46237</v>
      </c>
      <c r="C526" s="13" t="s">
        <v>1375</v>
      </c>
      <c r="D526" s="13" t="s">
        <v>230</v>
      </c>
      <c r="E526" s="13" t="s">
        <v>1376</v>
      </c>
      <c r="F526" s="13" t="s">
        <v>1377</v>
      </c>
      <c r="G526" s="11" t="s">
        <v>53</v>
      </c>
      <c r="H526" s="11" t="str">
        <f>IFERROR(VLOOKUP(G526,Paramètres!$B$6:$F$8,2,FALSE()),"")</f>
        <v>N/A</v>
      </c>
      <c r="I526" s="13" t="s">
        <v>47</v>
      </c>
      <c r="J526" s="11" t="s">
        <v>48</v>
      </c>
      <c r="K526" s="12">
        <v>46238</v>
      </c>
      <c r="L526" s="12">
        <v>46238</v>
      </c>
      <c r="M526" s="13"/>
      <c r="N526" s="14" t="s">
        <v>50</v>
      </c>
      <c r="O526" s="12"/>
      <c r="P526" s="11" t="str">
        <f t="shared" si="42"/>
        <v>-</v>
      </c>
      <c r="Q526" s="11" t="str">
        <f t="shared" ca="1" si="43"/>
        <v>-</v>
      </c>
      <c r="R526" s="11" t="str">
        <f>IFERROR(VLOOKUP(G526,Paramètres!$B$6:$F$8,3,FALSE()),"")</f>
        <v>N/A</v>
      </c>
      <c r="S526" s="11" t="str">
        <f t="shared" ca="1" si="44"/>
        <v>-</v>
      </c>
      <c r="T526" s="12"/>
      <c r="U526" s="11" t="str">
        <f t="shared" si="45"/>
        <v>-</v>
      </c>
      <c r="V526" s="11" t="str">
        <f t="shared" si="46"/>
        <v>-</v>
      </c>
      <c r="W526" s="11" t="str">
        <f t="shared" si="47"/>
        <v>Ne nécessite pas de réponse</v>
      </c>
    </row>
    <row r="527" spans="1:23">
      <c r="A527" s="11">
        <v>511</v>
      </c>
      <c r="B527" s="12">
        <v>46238</v>
      </c>
      <c r="C527" s="13" t="s">
        <v>1378</v>
      </c>
      <c r="D527" s="13" t="s">
        <v>145</v>
      </c>
      <c r="E527" s="13"/>
      <c r="F527" s="13" t="s">
        <v>1379</v>
      </c>
      <c r="G527" s="11" t="s">
        <v>39</v>
      </c>
      <c r="H527" s="11">
        <f>IFERROR(VLOOKUP(G527,Paramètres!$B$6:$F$8,2,FALSE()),"")</f>
        <v>5</v>
      </c>
      <c r="I527" s="13" t="s">
        <v>65</v>
      </c>
      <c r="J527" s="11" t="s">
        <v>55</v>
      </c>
      <c r="K527" s="12">
        <v>46238</v>
      </c>
      <c r="L527" s="12">
        <v>46238</v>
      </c>
      <c r="M527" s="13" t="s">
        <v>42</v>
      </c>
      <c r="N527" s="14" t="s">
        <v>66</v>
      </c>
      <c r="O527" s="12">
        <v>46245</v>
      </c>
      <c r="P527" s="11">
        <f t="shared" si="42"/>
        <v>7</v>
      </c>
      <c r="Q527" s="11" t="str">
        <f t="shared" ca="1" si="43"/>
        <v>-</v>
      </c>
      <c r="R527" s="11">
        <f>IFERROR(VLOOKUP(G527,Paramètres!$B$6:$F$8,3,FALSE()),"")</f>
        <v>2</v>
      </c>
      <c r="S527" s="11" t="str">
        <f t="shared" ca="1" si="44"/>
        <v>-</v>
      </c>
      <c r="T527" s="12">
        <v>46248</v>
      </c>
      <c r="U527" s="11">
        <f t="shared" si="45"/>
        <v>3</v>
      </c>
      <c r="V527" s="11">
        <f t="shared" si="46"/>
        <v>3</v>
      </c>
      <c r="W527" s="11" t="str">
        <f t="shared" si="47"/>
        <v>Hors délais</v>
      </c>
    </row>
    <row r="528" spans="1:23">
      <c r="A528" s="11">
        <v>512</v>
      </c>
      <c r="B528" s="12">
        <v>46238</v>
      </c>
      <c r="C528" s="13" t="s">
        <v>1380</v>
      </c>
      <c r="D528" s="13" t="s">
        <v>248</v>
      </c>
      <c r="E528" s="13" t="s">
        <v>1381</v>
      </c>
      <c r="F528" s="13" t="s">
        <v>1382</v>
      </c>
      <c r="G528" s="11" t="s">
        <v>39</v>
      </c>
      <c r="H528" s="11">
        <f>IFERROR(VLOOKUP(G528,Paramètres!$B$6:$F$8,2,FALSE()),"")</f>
        <v>5</v>
      </c>
      <c r="I528" s="13" t="s">
        <v>426</v>
      </c>
      <c r="J528" s="11" t="s">
        <v>41</v>
      </c>
      <c r="K528" s="12">
        <v>46238</v>
      </c>
      <c r="L528" s="12">
        <v>46239</v>
      </c>
      <c r="M528" s="13" t="s">
        <v>61</v>
      </c>
      <c r="N528" s="14" t="s">
        <v>43</v>
      </c>
      <c r="O528" s="12">
        <v>46244</v>
      </c>
      <c r="P528" s="11">
        <f t="shared" si="42"/>
        <v>6</v>
      </c>
      <c r="Q528" s="11" t="str">
        <f t="shared" ca="1" si="43"/>
        <v>-</v>
      </c>
      <c r="R528" s="11">
        <f>IFERROR(VLOOKUP(G528,Paramètres!$B$6:$F$8,3,FALSE()),"")</f>
        <v>2</v>
      </c>
      <c r="S528" s="11" t="str">
        <f t="shared" ca="1" si="44"/>
        <v>-</v>
      </c>
      <c r="T528" s="12">
        <v>46244</v>
      </c>
      <c r="U528" s="11">
        <f t="shared" si="45"/>
        <v>0</v>
      </c>
      <c r="V528" s="11">
        <f t="shared" si="46"/>
        <v>-1</v>
      </c>
      <c r="W528" s="11" t="str">
        <f t="shared" si="47"/>
        <v>Dans les délais</v>
      </c>
    </row>
    <row r="529" spans="1:23">
      <c r="A529" s="11">
        <v>513</v>
      </c>
      <c r="B529" s="12">
        <v>46238</v>
      </c>
      <c r="C529" s="13" t="s">
        <v>1383</v>
      </c>
      <c r="D529" s="13" t="s">
        <v>137</v>
      </c>
      <c r="E529" s="13" t="s">
        <v>1384</v>
      </c>
      <c r="F529" s="13" t="s">
        <v>1385</v>
      </c>
      <c r="G529" s="11" t="s">
        <v>39</v>
      </c>
      <c r="H529" s="11">
        <f>IFERROR(VLOOKUP(G529,Paramètres!$B$6:$F$8,2,FALSE()),"")</f>
        <v>5</v>
      </c>
      <c r="I529" s="13" t="s">
        <v>94</v>
      </c>
      <c r="J529" s="11" t="s">
        <v>55</v>
      </c>
      <c r="K529" s="12">
        <v>46239</v>
      </c>
      <c r="L529" s="12">
        <v>46239</v>
      </c>
      <c r="M529" s="13" t="s">
        <v>49</v>
      </c>
      <c r="N529" s="14" t="s">
        <v>66</v>
      </c>
      <c r="O529" s="12">
        <v>46240</v>
      </c>
      <c r="P529" s="11">
        <f t="shared" ref="P529:P592" si="48">IF(G529="Ne nécessite pas de réponse","-",IF(AND(ISNUMBER(B529),ISNUMBER(O529)),O529-B529,""))</f>
        <v>2</v>
      </c>
      <c r="Q529" s="11" t="str">
        <f t="shared" ref="Q529:Q592" ca="1" si="49">IF(G529="Ne nécessite pas de réponse","-",IF(O529&lt;&gt;"","-",IF(OR(B529="",H529="",NOT(ISNUMBER(H529)),H529=0),"",IF((TODAY()-B529)/H529&lt;=0.5,"VERT",IF((TODAY()-B529)/H529&lt;=0.8,"JAUNE","ROUGE")))))</f>
        <v>-</v>
      </c>
      <c r="R529" s="11">
        <f>IFERROR(VLOOKUP(G529,Paramètres!$B$6:$F$8,3,FALSE()),"")</f>
        <v>2</v>
      </c>
      <c r="S529" s="11" t="str">
        <f t="shared" ref="S529:S592" ca="1" si="50">IF(G529="Ne nécessite pas de réponse","-",IF(O529="","",IF(T529&lt;&gt;"","-",IF(OR(R529="",NOT(ISNUMBER(R529)),R529=0),"",IF((TODAY()-O529)/R529&lt;=0.5,"VERT",IF((TODAY()-O529)/R529&lt;=0.8,"JAUNE","ROUGE"))))))</f>
        <v>-</v>
      </c>
      <c r="T529" s="12">
        <v>46245</v>
      </c>
      <c r="U529" s="11">
        <f t="shared" ref="U529:U592" si="51">IF(G529="Ne nécessite pas de réponse","-",IF(AND(ISNUMBER(O529),ISNUMBER(T529)),T529-O529,""))</f>
        <v>5</v>
      </c>
      <c r="V529" s="11">
        <f t="shared" ref="V529:V592" si="52">IF(G529="Ne nécessite pas de réponse","-",IF(AND(ISNUMBER(T529),ISNUMBER(B529),ISNUMBER(H529),ISNUMBER(R529)),T529-(B529+H529+R529),""))</f>
        <v>0</v>
      </c>
      <c r="W529" s="11" t="str">
        <f t="shared" ref="W529:W592" si="53">IF(G529="Ne nécessite pas de réponse","Ne nécessite pas de réponse",IF(T529="","",IF(V529&lt;=0,"Dans les délais","Hors délais")))</f>
        <v>Dans les délais</v>
      </c>
    </row>
    <row r="530" spans="1:23">
      <c r="A530" s="11">
        <v>514</v>
      </c>
      <c r="B530" s="12">
        <v>46238</v>
      </c>
      <c r="C530" s="13" t="s">
        <v>1386</v>
      </c>
      <c r="D530" s="13" t="s">
        <v>248</v>
      </c>
      <c r="E530" s="13"/>
      <c r="F530" s="13" t="s">
        <v>1387</v>
      </c>
      <c r="G530" s="11" t="s">
        <v>53</v>
      </c>
      <c r="H530" s="11" t="str">
        <f>IFERROR(VLOOKUP(G530,Paramètres!$B$6:$F$8,2,FALSE()),"")</f>
        <v>N/A</v>
      </c>
      <c r="I530" s="13" t="s">
        <v>85</v>
      </c>
      <c r="J530" s="11" t="s">
        <v>41</v>
      </c>
      <c r="K530" s="12">
        <v>46238</v>
      </c>
      <c r="L530" s="12">
        <v>46238</v>
      </c>
      <c r="M530" s="13" t="s">
        <v>61</v>
      </c>
      <c r="N530" s="14" t="s">
        <v>43</v>
      </c>
      <c r="O530" s="12"/>
      <c r="P530" s="11" t="str">
        <f t="shared" si="48"/>
        <v>-</v>
      </c>
      <c r="Q530" s="11" t="str">
        <f t="shared" ca="1" si="49"/>
        <v>-</v>
      </c>
      <c r="R530" s="11" t="str">
        <f>IFERROR(VLOOKUP(G530,Paramètres!$B$6:$F$8,3,FALSE()),"")</f>
        <v>N/A</v>
      </c>
      <c r="S530" s="11" t="str">
        <f t="shared" ca="1" si="50"/>
        <v>-</v>
      </c>
      <c r="T530" s="12"/>
      <c r="U530" s="11" t="str">
        <f t="shared" si="51"/>
        <v>-</v>
      </c>
      <c r="V530" s="11" t="str">
        <f t="shared" si="52"/>
        <v>-</v>
      </c>
      <c r="W530" s="11" t="str">
        <f t="shared" si="53"/>
        <v>Ne nécessite pas de réponse</v>
      </c>
    </row>
    <row r="531" spans="1:23">
      <c r="A531" s="11">
        <v>515</v>
      </c>
      <c r="B531" s="12">
        <v>46238</v>
      </c>
      <c r="C531" s="13" t="s">
        <v>1388</v>
      </c>
      <c r="D531" s="13" t="s">
        <v>230</v>
      </c>
      <c r="E531" s="13"/>
      <c r="F531" s="13" t="s">
        <v>1389</v>
      </c>
      <c r="G531" s="11" t="s">
        <v>39</v>
      </c>
      <c r="H531" s="11">
        <f>IFERROR(VLOOKUP(G531,Paramètres!$B$6:$F$8,2,FALSE()),"")</f>
        <v>5</v>
      </c>
      <c r="I531" s="13" t="s">
        <v>47</v>
      </c>
      <c r="J531" s="11" t="s">
        <v>48</v>
      </c>
      <c r="K531" s="12">
        <v>46238</v>
      </c>
      <c r="L531" s="12">
        <v>46238</v>
      </c>
      <c r="M531" s="13" t="s">
        <v>86</v>
      </c>
      <c r="N531" s="14" t="s">
        <v>186</v>
      </c>
      <c r="O531" s="12">
        <v>46251</v>
      </c>
      <c r="P531" s="11">
        <f t="shared" si="48"/>
        <v>13</v>
      </c>
      <c r="Q531" s="11" t="str">
        <f t="shared" ca="1" si="49"/>
        <v>-</v>
      </c>
      <c r="R531" s="11">
        <f>IFERROR(VLOOKUP(G531,Paramètres!$B$6:$F$8,3,FALSE()),"")</f>
        <v>2</v>
      </c>
      <c r="S531" s="11" t="str">
        <f t="shared" ca="1" si="50"/>
        <v>-</v>
      </c>
      <c r="T531" s="12">
        <v>46252</v>
      </c>
      <c r="U531" s="11">
        <f t="shared" si="51"/>
        <v>1</v>
      </c>
      <c r="V531" s="11">
        <f t="shared" si="52"/>
        <v>7</v>
      </c>
      <c r="W531" s="11" t="str">
        <f t="shared" si="53"/>
        <v>Hors délais</v>
      </c>
    </row>
    <row r="532" spans="1:23">
      <c r="A532" s="11">
        <v>516</v>
      </c>
      <c r="B532" s="12">
        <v>46239</v>
      </c>
      <c r="C532" s="13" t="s">
        <v>1390</v>
      </c>
      <c r="D532" s="13" t="s">
        <v>178</v>
      </c>
      <c r="E532" s="13" t="s">
        <v>1391</v>
      </c>
      <c r="F532" s="13" t="s">
        <v>1392</v>
      </c>
      <c r="G532" s="11" t="s">
        <v>39</v>
      </c>
      <c r="H532" s="11">
        <f>IFERROR(VLOOKUP(G532,Paramètres!$B$6:$F$8,2,FALSE()),"")</f>
        <v>5</v>
      </c>
      <c r="I532" s="13" t="s">
        <v>130</v>
      </c>
      <c r="J532" s="11" t="s">
        <v>48</v>
      </c>
      <c r="K532" s="12">
        <v>46239</v>
      </c>
      <c r="L532" s="12">
        <v>46239</v>
      </c>
      <c r="M532" s="13" t="s">
        <v>61</v>
      </c>
      <c r="N532" s="14" t="s">
        <v>121</v>
      </c>
      <c r="O532" s="12">
        <v>46248</v>
      </c>
      <c r="P532" s="11">
        <f t="shared" si="48"/>
        <v>9</v>
      </c>
      <c r="Q532" s="11" t="str">
        <f t="shared" ca="1" si="49"/>
        <v>-</v>
      </c>
      <c r="R532" s="11">
        <f>IFERROR(VLOOKUP(G532,Paramètres!$B$6:$F$8,3,FALSE()),"")</f>
        <v>2</v>
      </c>
      <c r="S532" s="11" t="str">
        <f t="shared" ca="1" si="50"/>
        <v>-</v>
      </c>
      <c r="T532" s="12">
        <v>46252</v>
      </c>
      <c r="U532" s="11">
        <f t="shared" si="51"/>
        <v>4</v>
      </c>
      <c r="V532" s="11">
        <f t="shared" si="52"/>
        <v>6</v>
      </c>
      <c r="W532" s="11" t="str">
        <f t="shared" si="53"/>
        <v>Hors délais</v>
      </c>
    </row>
    <row r="533" spans="1:23">
      <c r="A533" s="11">
        <v>517</v>
      </c>
      <c r="B533" s="12">
        <v>46239</v>
      </c>
      <c r="C533" s="13" t="s">
        <v>1393</v>
      </c>
      <c r="D533" s="13" t="s">
        <v>81</v>
      </c>
      <c r="E533" s="13" t="s">
        <v>1394</v>
      </c>
      <c r="F533" s="13" t="s">
        <v>1395</v>
      </c>
      <c r="G533" s="11" t="s">
        <v>39</v>
      </c>
      <c r="H533" s="11">
        <f>IFERROR(VLOOKUP(G533,Paramètres!$B$6:$F$8,2,FALSE()),"")</f>
        <v>5</v>
      </c>
      <c r="I533" s="13" t="s">
        <v>190</v>
      </c>
      <c r="J533" s="11" t="s">
        <v>48</v>
      </c>
      <c r="K533" s="12">
        <v>46239</v>
      </c>
      <c r="L533" s="12">
        <v>46240</v>
      </c>
      <c r="M533" s="13"/>
      <c r="N533" s="14" t="s">
        <v>121</v>
      </c>
      <c r="O533" s="12">
        <v>46244</v>
      </c>
      <c r="P533" s="11">
        <f t="shared" si="48"/>
        <v>5</v>
      </c>
      <c r="Q533" s="11" t="str">
        <f t="shared" ca="1" si="49"/>
        <v>-</v>
      </c>
      <c r="R533" s="11">
        <f>IFERROR(VLOOKUP(G533,Paramètres!$B$6:$F$8,3,FALSE()),"")</f>
        <v>2</v>
      </c>
      <c r="S533" s="11" t="str">
        <f t="shared" ca="1" si="50"/>
        <v>-</v>
      </c>
      <c r="T533" s="12">
        <v>46251</v>
      </c>
      <c r="U533" s="11">
        <f t="shared" si="51"/>
        <v>7</v>
      </c>
      <c r="V533" s="11">
        <f t="shared" si="52"/>
        <v>5</v>
      </c>
      <c r="W533" s="11" t="str">
        <f t="shared" si="53"/>
        <v>Hors délais</v>
      </c>
    </row>
    <row r="534" spans="1:23">
      <c r="A534" s="11">
        <v>518</v>
      </c>
      <c r="B534" s="12">
        <v>46239</v>
      </c>
      <c r="C534" s="13" t="s">
        <v>1396</v>
      </c>
      <c r="D534" s="13" t="s">
        <v>100</v>
      </c>
      <c r="E534" s="13"/>
      <c r="F534" s="13" t="s">
        <v>1397</v>
      </c>
      <c r="G534" s="11" t="s">
        <v>53</v>
      </c>
      <c r="H534" s="11" t="str">
        <f>IFERROR(VLOOKUP(G534,Paramètres!$B$6:$F$8,2,FALSE()),"")</f>
        <v>N/A</v>
      </c>
      <c r="I534" s="13" t="s">
        <v>120</v>
      </c>
      <c r="J534" s="11" t="s">
        <v>48</v>
      </c>
      <c r="K534" s="12">
        <v>46239</v>
      </c>
      <c r="L534" s="12">
        <v>46240</v>
      </c>
      <c r="M534" s="13" t="s">
        <v>61</v>
      </c>
      <c r="N534" s="14" t="s">
        <v>121</v>
      </c>
      <c r="O534" s="12"/>
      <c r="P534" s="11" t="str">
        <f t="shared" si="48"/>
        <v>-</v>
      </c>
      <c r="Q534" s="11" t="str">
        <f t="shared" ca="1" si="49"/>
        <v>-</v>
      </c>
      <c r="R534" s="11" t="str">
        <f>IFERROR(VLOOKUP(G534,Paramètres!$B$6:$F$8,3,FALSE()),"")</f>
        <v>N/A</v>
      </c>
      <c r="S534" s="11" t="str">
        <f t="shared" ca="1" si="50"/>
        <v>-</v>
      </c>
      <c r="T534" s="12"/>
      <c r="U534" s="11" t="str">
        <f t="shared" si="51"/>
        <v>-</v>
      </c>
      <c r="V534" s="11" t="str">
        <f t="shared" si="52"/>
        <v>-</v>
      </c>
      <c r="W534" s="11" t="str">
        <f t="shared" si="53"/>
        <v>Ne nécessite pas de réponse</v>
      </c>
    </row>
    <row r="535" spans="1:23">
      <c r="A535" s="11">
        <v>519</v>
      </c>
      <c r="B535" s="12">
        <v>46240</v>
      </c>
      <c r="C535" s="13" t="s">
        <v>1398</v>
      </c>
      <c r="D535" s="13" t="s">
        <v>96</v>
      </c>
      <c r="E535" s="13"/>
      <c r="F535" s="13" t="s">
        <v>1399</v>
      </c>
      <c r="G535" s="11" t="s">
        <v>39</v>
      </c>
      <c r="H535" s="11">
        <f>IFERROR(VLOOKUP(G535,Paramètres!$B$6:$F$8,2,FALSE()),"")</f>
        <v>5</v>
      </c>
      <c r="I535" s="13" t="s">
        <v>130</v>
      </c>
      <c r="J535" s="11" t="s">
        <v>48</v>
      </c>
      <c r="K535" s="12">
        <v>46240</v>
      </c>
      <c r="L535" s="12">
        <v>46241</v>
      </c>
      <c r="M535" s="13" t="s">
        <v>56</v>
      </c>
      <c r="N535" s="14" t="s">
        <v>50</v>
      </c>
      <c r="O535" s="12">
        <v>46253</v>
      </c>
      <c r="P535" s="11">
        <f t="shared" si="48"/>
        <v>13</v>
      </c>
      <c r="Q535" s="11" t="str">
        <f t="shared" ca="1" si="49"/>
        <v>-</v>
      </c>
      <c r="R535" s="11">
        <f>IFERROR(VLOOKUP(G535,Paramètres!$B$6:$F$8,3,FALSE()),"")</f>
        <v>2</v>
      </c>
      <c r="S535" s="11" t="str">
        <f t="shared" ca="1" si="50"/>
        <v>-</v>
      </c>
      <c r="T535" s="12">
        <v>46258</v>
      </c>
      <c r="U535" s="11">
        <f t="shared" si="51"/>
        <v>5</v>
      </c>
      <c r="V535" s="11">
        <f t="shared" si="52"/>
        <v>11</v>
      </c>
      <c r="W535" s="11" t="str">
        <f t="shared" si="53"/>
        <v>Hors délais</v>
      </c>
    </row>
    <row r="536" spans="1:23">
      <c r="A536" s="11">
        <v>520</v>
      </c>
      <c r="B536" s="12">
        <v>46240</v>
      </c>
      <c r="C536" s="13" t="s">
        <v>1400</v>
      </c>
      <c r="D536" s="13" t="s">
        <v>345</v>
      </c>
      <c r="E536" s="13" t="s">
        <v>1401</v>
      </c>
      <c r="F536" s="13" t="s">
        <v>1402</v>
      </c>
      <c r="G536" s="11" t="s">
        <v>39</v>
      </c>
      <c r="H536" s="11">
        <f>IFERROR(VLOOKUP(G536,Paramètres!$B$6:$F$8,2,FALSE()),"")</f>
        <v>5</v>
      </c>
      <c r="I536" s="13" t="s">
        <v>65</v>
      </c>
      <c r="J536" s="11" t="s">
        <v>55</v>
      </c>
      <c r="K536" s="12">
        <v>46240</v>
      </c>
      <c r="L536" s="12">
        <v>46241</v>
      </c>
      <c r="M536" s="13" t="s">
        <v>42</v>
      </c>
      <c r="N536" s="14" t="s">
        <v>66</v>
      </c>
      <c r="O536" s="12">
        <v>46258</v>
      </c>
      <c r="P536" s="11">
        <f t="shared" si="48"/>
        <v>18</v>
      </c>
      <c r="Q536" s="11" t="str">
        <f t="shared" ca="1" si="49"/>
        <v>-</v>
      </c>
      <c r="R536" s="11">
        <f>IFERROR(VLOOKUP(G536,Paramètres!$B$6:$F$8,3,FALSE()),"")</f>
        <v>2</v>
      </c>
      <c r="S536" s="11" t="str">
        <f t="shared" ca="1" si="50"/>
        <v>-</v>
      </c>
      <c r="T536" s="12">
        <v>46261</v>
      </c>
      <c r="U536" s="11">
        <f t="shared" si="51"/>
        <v>3</v>
      </c>
      <c r="V536" s="11">
        <f t="shared" si="52"/>
        <v>14</v>
      </c>
      <c r="W536" s="11" t="str">
        <f t="shared" si="53"/>
        <v>Hors délais</v>
      </c>
    </row>
    <row r="537" spans="1:23">
      <c r="A537" s="11">
        <v>521</v>
      </c>
      <c r="B537" s="12">
        <v>46241</v>
      </c>
      <c r="C537" s="13" t="s">
        <v>1403</v>
      </c>
      <c r="D537" s="13" t="s">
        <v>123</v>
      </c>
      <c r="E537" s="13"/>
      <c r="F537" s="13" t="s">
        <v>1404</v>
      </c>
      <c r="G537" s="11" t="s">
        <v>39</v>
      </c>
      <c r="H537" s="11">
        <f>IFERROR(VLOOKUP(G537,Paramètres!$B$6:$F$8,2,FALSE()),"")</f>
        <v>5</v>
      </c>
      <c r="I537" s="13" t="s">
        <v>65</v>
      </c>
      <c r="J537" s="11" t="s">
        <v>55</v>
      </c>
      <c r="K537" s="12">
        <v>46241</v>
      </c>
      <c r="L537" s="12">
        <v>46241</v>
      </c>
      <c r="M537" s="13" t="s">
        <v>42</v>
      </c>
      <c r="N537" s="14" t="s">
        <v>57</v>
      </c>
      <c r="O537" s="12">
        <v>46248</v>
      </c>
      <c r="P537" s="11">
        <f t="shared" si="48"/>
        <v>7</v>
      </c>
      <c r="Q537" s="11" t="str">
        <f t="shared" ca="1" si="49"/>
        <v>-</v>
      </c>
      <c r="R537" s="11">
        <f>IFERROR(VLOOKUP(G537,Paramètres!$B$6:$F$8,3,FALSE()),"")</f>
        <v>2</v>
      </c>
      <c r="S537" s="11" t="str">
        <f t="shared" ca="1" si="50"/>
        <v>-</v>
      </c>
      <c r="T537" s="12">
        <v>46251</v>
      </c>
      <c r="U537" s="11">
        <f t="shared" si="51"/>
        <v>3</v>
      </c>
      <c r="V537" s="11">
        <f t="shared" si="52"/>
        <v>3</v>
      </c>
      <c r="W537" s="11" t="str">
        <f t="shared" si="53"/>
        <v>Hors délais</v>
      </c>
    </row>
    <row r="538" spans="1:23">
      <c r="A538" s="11">
        <v>522</v>
      </c>
      <c r="B538" s="12">
        <v>46241</v>
      </c>
      <c r="C538" s="13" t="s">
        <v>1405</v>
      </c>
      <c r="D538" s="13" t="s">
        <v>68</v>
      </c>
      <c r="E538" s="13" t="s">
        <v>1406</v>
      </c>
      <c r="F538" s="13" t="s">
        <v>1407</v>
      </c>
      <c r="G538" s="11" t="s">
        <v>39</v>
      </c>
      <c r="H538" s="11">
        <f>IFERROR(VLOOKUP(G538,Paramètres!$B$6:$F$8,2,FALSE()),"")</f>
        <v>5</v>
      </c>
      <c r="I538" s="13" t="s">
        <v>65</v>
      </c>
      <c r="J538" s="11" t="s">
        <v>55</v>
      </c>
      <c r="K538" s="12">
        <v>46241</v>
      </c>
      <c r="L538" s="12">
        <v>46241</v>
      </c>
      <c r="M538" s="13" t="s">
        <v>56</v>
      </c>
      <c r="N538" s="14" t="s">
        <v>57</v>
      </c>
      <c r="O538" s="12">
        <v>46254</v>
      </c>
      <c r="P538" s="11">
        <f t="shared" si="48"/>
        <v>13</v>
      </c>
      <c r="Q538" s="11" t="str">
        <f t="shared" ca="1" si="49"/>
        <v>-</v>
      </c>
      <c r="R538" s="11">
        <f>IFERROR(VLOOKUP(G538,Paramètres!$B$6:$F$8,3,FALSE()),"")</f>
        <v>2</v>
      </c>
      <c r="S538" s="11" t="str">
        <f t="shared" ca="1" si="50"/>
        <v>-</v>
      </c>
      <c r="T538" s="12">
        <v>46255</v>
      </c>
      <c r="U538" s="11">
        <f t="shared" si="51"/>
        <v>1</v>
      </c>
      <c r="V538" s="11">
        <f t="shared" si="52"/>
        <v>7</v>
      </c>
      <c r="W538" s="11" t="str">
        <f t="shared" si="53"/>
        <v>Hors délais</v>
      </c>
    </row>
    <row r="539" spans="1:23">
      <c r="A539" s="11">
        <v>523</v>
      </c>
      <c r="B539" s="12">
        <v>46244</v>
      </c>
      <c r="C539" s="13" t="s">
        <v>1408</v>
      </c>
      <c r="D539" s="13" t="s">
        <v>123</v>
      </c>
      <c r="E539" s="13" t="s">
        <v>1409</v>
      </c>
      <c r="F539" s="13" t="s">
        <v>1410</v>
      </c>
      <c r="G539" s="11" t="s">
        <v>39</v>
      </c>
      <c r="H539" s="11">
        <f>IFERROR(VLOOKUP(G539,Paramètres!$B$6:$F$8,2,FALSE()),"")</f>
        <v>5</v>
      </c>
      <c r="I539" s="13" t="s">
        <v>190</v>
      </c>
      <c r="J539" s="11" t="s">
        <v>48</v>
      </c>
      <c r="K539" s="12">
        <v>46245</v>
      </c>
      <c r="L539" s="12">
        <v>46245</v>
      </c>
      <c r="M539" s="13" t="s">
        <v>86</v>
      </c>
      <c r="N539" s="14" t="s">
        <v>121</v>
      </c>
      <c r="O539" s="12">
        <v>46252</v>
      </c>
      <c r="P539" s="11">
        <f t="shared" si="48"/>
        <v>8</v>
      </c>
      <c r="Q539" s="11" t="str">
        <f t="shared" ca="1" si="49"/>
        <v>-</v>
      </c>
      <c r="R539" s="11">
        <f>IFERROR(VLOOKUP(G539,Paramètres!$B$6:$F$8,3,FALSE()),"")</f>
        <v>2</v>
      </c>
      <c r="S539" s="11" t="str">
        <f t="shared" ca="1" si="50"/>
        <v>-</v>
      </c>
      <c r="T539" s="12">
        <v>46255</v>
      </c>
      <c r="U539" s="11">
        <f t="shared" si="51"/>
        <v>3</v>
      </c>
      <c r="V539" s="11">
        <f t="shared" si="52"/>
        <v>4</v>
      </c>
      <c r="W539" s="11" t="str">
        <f t="shared" si="53"/>
        <v>Hors délais</v>
      </c>
    </row>
    <row r="540" spans="1:23">
      <c r="A540" s="11">
        <v>524</v>
      </c>
      <c r="B540" s="12">
        <v>46244</v>
      </c>
      <c r="C540" s="13" t="s">
        <v>1411</v>
      </c>
      <c r="D540" s="13" t="s">
        <v>345</v>
      </c>
      <c r="E540" s="13"/>
      <c r="F540" s="13" t="s">
        <v>1412</v>
      </c>
      <c r="G540" s="11" t="s">
        <v>84</v>
      </c>
      <c r="H540" s="11">
        <f>IFERROR(VLOOKUP(G540,Paramètres!$B$6:$F$8,2,FALSE()),"")</f>
        <v>5</v>
      </c>
      <c r="I540" s="13" t="s">
        <v>85</v>
      </c>
      <c r="J540" s="11" t="s">
        <v>41</v>
      </c>
      <c r="K540" s="12">
        <v>46244</v>
      </c>
      <c r="L540" s="12">
        <v>46244</v>
      </c>
      <c r="M540" s="13" t="s">
        <v>42</v>
      </c>
      <c r="N540" s="14" t="s">
        <v>87</v>
      </c>
      <c r="O540" s="12">
        <v>46251</v>
      </c>
      <c r="P540" s="11">
        <f t="shared" si="48"/>
        <v>7</v>
      </c>
      <c r="Q540" s="11" t="str">
        <f t="shared" ca="1" si="49"/>
        <v>-</v>
      </c>
      <c r="R540" s="11">
        <f>IFERROR(VLOOKUP(G540,Paramètres!$B$6:$F$8,3,FALSE()),"")</f>
        <v>2</v>
      </c>
      <c r="S540" s="11" t="str">
        <f t="shared" ca="1" si="50"/>
        <v>-</v>
      </c>
      <c r="T540" s="12">
        <v>46253</v>
      </c>
      <c r="U540" s="11">
        <f t="shared" si="51"/>
        <v>2</v>
      </c>
      <c r="V540" s="11">
        <f t="shared" si="52"/>
        <v>2</v>
      </c>
      <c r="W540" s="11" t="str">
        <f t="shared" si="53"/>
        <v>Hors délais</v>
      </c>
    </row>
    <row r="541" spans="1:23">
      <c r="A541" s="11">
        <v>525</v>
      </c>
      <c r="B541" s="12">
        <v>46245</v>
      </c>
      <c r="C541" s="13" t="s">
        <v>1413</v>
      </c>
      <c r="D541" s="13" t="s">
        <v>123</v>
      </c>
      <c r="E541" s="13"/>
      <c r="F541" s="13" t="s">
        <v>1414</v>
      </c>
      <c r="G541" s="11" t="s">
        <v>39</v>
      </c>
      <c r="H541" s="11">
        <f>IFERROR(VLOOKUP(G541,Paramètres!$B$6:$F$8,2,FALSE()),"")</f>
        <v>5</v>
      </c>
      <c r="I541" s="13" t="s">
        <v>47</v>
      </c>
      <c r="J541" s="11" t="s">
        <v>48</v>
      </c>
      <c r="K541" s="12">
        <v>46246</v>
      </c>
      <c r="L541" s="12">
        <v>46246</v>
      </c>
      <c r="M541" s="13" t="s">
        <v>86</v>
      </c>
      <c r="N541" s="14" t="s">
        <v>121</v>
      </c>
      <c r="O541" s="12">
        <v>46251</v>
      </c>
      <c r="P541" s="11">
        <f t="shared" si="48"/>
        <v>6</v>
      </c>
      <c r="Q541" s="11" t="str">
        <f t="shared" ca="1" si="49"/>
        <v>-</v>
      </c>
      <c r="R541" s="11">
        <f>IFERROR(VLOOKUP(G541,Paramètres!$B$6:$F$8,3,FALSE()),"")</f>
        <v>2</v>
      </c>
      <c r="S541" s="11" t="str">
        <f t="shared" ca="1" si="50"/>
        <v>-</v>
      </c>
      <c r="T541" s="12">
        <v>46252</v>
      </c>
      <c r="U541" s="11">
        <f t="shared" si="51"/>
        <v>1</v>
      </c>
      <c r="V541" s="11">
        <f t="shared" si="52"/>
        <v>0</v>
      </c>
      <c r="W541" s="11" t="str">
        <f t="shared" si="53"/>
        <v>Dans les délais</v>
      </c>
    </row>
    <row r="542" spans="1:23">
      <c r="A542" s="11">
        <v>526</v>
      </c>
      <c r="B542" s="12">
        <v>46245</v>
      </c>
      <c r="C542" s="13" t="s">
        <v>1415</v>
      </c>
      <c r="D542" s="13" t="s">
        <v>118</v>
      </c>
      <c r="E542" s="13"/>
      <c r="F542" s="13" t="s">
        <v>1416</v>
      </c>
      <c r="G542" s="11" t="s">
        <v>39</v>
      </c>
      <c r="H542" s="11">
        <f>IFERROR(VLOOKUP(G542,Paramètres!$B$6:$F$8,2,FALSE()),"")</f>
        <v>5</v>
      </c>
      <c r="I542" s="13" t="s">
        <v>232</v>
      </c>
      <c r="J542" s="11" t="s">
        <v>55</v>
      </c>
      <c r="K542" s="12">
        <v>46245</v>
      </c>
      <c r="L542" s="12">
        <v>46245</v>
      </c>
      <c r="M542" s="13" t="s">
        <v>42</v>
      </c>
      <c r="N542" s="14" t="s">
        <v>102</v>
      </c>
      <c r="O542" s="12">
        <v>46253</v>
      </c>
      <c r="P542" s="11">
        <f t="shared" si="48"/>
        <v>8</v>
      </c>
      <c r="Q542" s="11" t="str">
        <f t="shared" ca="1" si="49"/>
        <v>-</v>
      </c>
      <c r="R542" s="11">
        <f>IFERROR(VLOOKUP(G542,Paramètres!$B$6:$F$8,3,FALSE()),"")</f>
        <v>2</v>
      </c>
      <c r="S542" s="11" t="str">
        <f t="shared" ca="1" si="50"/>
        <v>-</v>
      </c>
      <c r="T542" s="12">
        <v>46254</v>
      </c>
      <c r="U542" s="11">
        <f t="shared" si="51"/>
        <v>1</v>
      </c>
      <c r="V542" s="11">
        <f t="shared" si="52"/>
        <v>2</v>
      </c>
      <c r="W542" s="11" t="str">
        <f t="shared" si="53"/>
        <v>Hors délais</v>
      </c>
    </row>
    <row r="543" spans="1:23">
      <c r="A543" s="11">
        <v>527</v>
      </c>
      <c r="B543" s="12">
        <v>46245</v>
      </c>
      <c r="C543" s="13" t="s">
        <v>1417</v>
      </c>
      <c r="D543" s="13" t="s">
        <v>137</v>
      </c>
      <c r="E543" s="13"/>
      <c r="F543" s="13" t="s">
        <v>1418</v>
      </c>
      <c r="G543" s="11" t="s">
        <v>53</v>
      </c>
      <c r="H543" s="11" t="str">
        <f>IFERROR(VLOOKUP(G543,Paramètres!$B$6:$F$8,2,FALSE()),"")</f>
        <v>N/A</v>
      </c>
      <c r="I543" s="13" t="s">
        <v>240</v>
      </c>
      <c r="J543" s="11" t="s">
        <v>55</v>
      </c>
      <c r="K543" s="12">
        <v>46245</v>
      </c>
      <c r="L543" s="12">
        <v>46246</v>
      </c>
      <c r="M543" s="13" t="s">
        <v>61</v>
      </c>
      <c r="N543" s="14" t="s">
        <v>102</v>
      </c>
      <c r="O543" s="12"/>
      <c r="P543" s="11" t="str">
        <f t="shared" si="48"/>
        <v>-</v>
      </c>
      <c r="Q543" s="11" t="str">
        <f t="shared" ca="1" si="49"/>
        <v>-</v>
      </c>
      <c r="R543" s="11" t="str">
        <f>IFERROR(VLOOKUP(G543,Paramètres!$B$6:$F$8,3,FALSE()),"")</f>
        <v>N/A</v>
      </c>
      <c r="S543" s="11" t="str">
        <f t="shared" ca="1" si="50"/>
        <v>-</v>
      </c>
      <c r="T543" s="12"/>
      <c r="U543" s="11" t="str">
        <f t="shared" si="51"/>
        <v>-</v>
      </c>
      <c r="V543" s="11" t="str">
        <f t="shared" si="52"/>
        <v>-</v>
      </c>
      <c r="W543" s="11" t="str">
        <f t="shared" si="53"/>
        <v>Ne nécessite pas de réponse</v>
      </c>
    </row>
    <row r="544" spans="1:23">
      <c r="A544" s="11">
        <v>528</v>
      </c>
      <c r="B544" s="12">
        <v>46245</v>
      </c>
      <c r="C544" s="13" t="s">
        <v>1419</v>
      </c>
      <c r="D544" s="13" t="s">
        <v>89</v>
      </c>
      <c r="E544" s="13"/>
      <c r="F544" s="13" t="s">
        <v>1420</v>
      </c>
      <c r="G544" s="11" t="s">
        <v>39</v>
      </c>
      <c r="H544" s="11">
        <f>IFERROR(VLOOKUP(G544,Paramètres!$B$6:$F$8,2,FALSE()),"")</f>
        <v>5</v>
      </c>
      <c r="I544" s="13" t="s">
        <v>130</v>
      </c>
      <c r="J544" s="11" t="s">
        <v>48</v>
      </c>
      <c r="K544" s="12">
        <v>46246</v>
      </c>
      <c r="L544" s="12">
        <v>46246</v>
      </c>
      <c r="M544" s="13"/>
      <c r="N544" s="14" t="s">
        <v>186</v>
      </c>
      <c r="O544" s="12">
        <v>46248</v>
      </c>
      <c r="P544" s="11">
        <f t="shared" si="48"/>
        <v>3</v>
      </c>
      <c r="Q544" s="11" t="str">
        <f t="shared" ca="1" si="49"/>
        <v>-</v>
      </c>
      <c r="R544" s="11">
        <f>IFERROR(VLOOKUP(G544,Paramètres!$B$6:$F$8,3,FALSE()),"")</f>
        <v>2</v>
      </c>
      <c r="S544" s="11" t="str">
        <f t="shared" ca="1" si="50"/>
        <v>-</v>
      </c>
      <c r="T544" s="12">
        <v>46252</v>
      </c>
      <c r="U544" s="11">
        <f t="shared" si="51"/>
        <v>4</v>
      </c>
      <c r="V544" s="11">
        <f t="shared" si="52"/>
        <v>0</v>
      </c>
      <c r="W544" s="11" t="str">
        <f t="shared" si="53"/>
        <v>Dans les délais</v>
      </c>
    </row>
    <row r="545" spans="1:23">
      <c r="A545" s="11">
        <v>529</v>
      </c>
      <c r="B545" s="12">
        <v>46245</v>
      </c>
      <c r="C545" s="13" t="s">
        <v>1421</v>
      </c>
      <c r="D545" s="13" t="s">
        <v>123</v>
      </c>
      <c r="E545" s="13" t="s">
        <v>1422</v>
      </c>
      <c r="F545" s="13" t="s">
        <v>1423</v>
      </c>
      <c r="G545" s="11" t="s">
        <v>53</v>
      </c>
      <c r="H545" s="11" t="str">
        <f>IFERROR(VLOOKUP(G545,Paramètres!$B$6:$F$8,2,FALSE()),"")</f>
        <v>N/A</v>
      </c>
      <c r="I545" s="13" t="s">
        <v>94</v>
      </c>
      <c r="J545" s="11" t="s">
        <v>55</v>
      </c>
      <c r="K545" s="12">
        <v>46245</v>
      </c>
      <c r="L545" s="12">
        <v>46245</v>
      </c>
      <c r="M545" s="13" t="s">
        <v>42</v>
      </c>
      <c r="N545" s="14" t="s">
        <v>102</v>
      </c>
      <c r="O545" s="12"/>
      <c r="P545" s="11" t="str">
        <f t="shared" si="48"/>
        <v>-</v>
      </c>
      <c r="Q545" s="11" t="str">
        <f t="shared" ca="1" si="49"/>
        <v>-</v>
      </c>
      <c r="R545" s="11" t="str">
        <f>IFERROR(VLOOKUP(G545,Paramètres!$B$6:$F$8,3,FALSE()),"")</f>
        <v>N/A</v>
      </c>
      <c r="S545" s="11" t="str">
        <f t="shared" ca="1" si="50"/>
        <v>-</v>
      </c>
      <c r="T545" s="12"/>
      <c r="U545" s="11" t="str">
        <f t="shared" si="51"/>
        <v>-</v>
      </c>
      <c r="V545" s="11" t="str">
        <f t="shared" si="52"/>
        <v>-</v>
      </c>
      <c r="W545" s="11" t="str">
        <f t="shared" si="53"/>
        <v>Ne nécessite pas de réponse</v>
      </c>
    </row>
    <row r="546" spans="1:23">
      <c r="A546" s="11">
        <v>530</v>
      </c>
      <c r="B546" s="12">
        <v>46245</v>
      </c>
      <c r="C546" s="13" t="s">
        <v>1424</v>
      </c>
      <c r="D546" s="13" t="s">
        <v>118</v>
      </c>
      <c r="E546" s="13"/>
      <c r="F546" s="13" t="s">
        <v>1425</v>
      </c>
      <c r="G546" s="11" t="s">
        <v>39</v>
      </c>
      <c r="H546" s="11">
        <f>IFERROR(VLOOKUP(G546,Paramètres!$B$6:$F$8,2,FALSE()),"")</f>
        <v>5</v>
      </c>
      <c r="I546" s="13" t="s">
        <v>91</v>
      </c>
      <c r="J546" s="11" t="s">
        <v>41</v>
      </c>
      <c r="K546" s="12">
        <v>46246</v>
      </c>
      <c r="L546" s="12">
        <v>46247</v>
      </c>
      <c r="M546" s="13" t="s">
        <v>56</v>
      </c>
      <c r="N546" s="14" t="s">
        <v>76</v>
      </c>
      <c r="O546" s="12">
        <v>46248</v>
      </c>
      <c r="P546" s="11">
        <f t="shared" si="48"/>
        <v>3</v>
      </c>
      <c r="Q546" s="11" t="str">
        <f t="shared" ca="1" si="49"/>
        <v>-</v>
      </c>
      <c r="R546" s="11">
        <f>IFERROR(VLOOKUP(G546,Paramètres!$B$6:$F$8,3,FALSE()),"")</f>
        <v>2</v>
      </c>
      <c r="S546" s="11" t="str">
        <f t="shared" ca="1" si="50"/>
        <v>-</v>
      </c>
      <c r="T546" s="12">
        <v>46248</v>
      </c>
      <c r="U546" s="11">
        <f t="shared" si="51"/>
        <v>0</v>
      </c>
      <c r="V546" s="11">
        <f t="shared" si="52"/>
        <v>-4</v>
      </c>
      <c r="W546" s="11" t="str">
        <f t="shared" si="53"/>
        <v>Dans les délais</v>
      </c>
    </row>
    <row r="547" spans="1:23" ht="28.5">
      <c r="A547" s="11">
        <v>531</v>
      </c>
      <c r="B547" s="12">
        <v>46246</v>
      </c>
      <c r="C547" s="13" t="s">
        <v>1426</v>
      </c>
      <c r="D547" s="13" t="s">
        <v>118</v>
      </c>
      <c r="E547" s="13" t="s">
        <v>1427</v>
      </c>
      <c r="F547" s="13" t="s">
        <v>1428</v>
      </c>
      <c r="G547" s="11" t="s">
        <v>39</v>
      </c>
      <c r="H547" s="11">
        <f>IFERROR(VLOOKUP(G547,Paramètres!$B$6:$F$8,2,FALSE()),"")</f>
        <v>5</v>
      </c>
      <c r="I547" s="13" t="s">
        <v>108</v>
      </c>
      <c r="J547" s="11" t="s">
        <v>55</v>
      </c>
      <c r="K547" s="12">
        <v>46247</v>
      </c>
      <c r="L547" s="12">
        <v>46247</v>
      </c>
      <c r="M547" s="13" t="s">
        <v>75</v>
      </c>
      <c r="N547" s="14" t="s">
        <v>66</v>
      </c>
      <c r="O547" s="12">
        <v>46253</v>
      </c>
      <c r="P547" s="11">
        <f t="shared" si="48"/>
        <v>7</v>
      </c>
      <c r="Q547" s="11" t="str">
        <f t="shared" ca="1" si="49"/>
        <v>-</v>
      </c>
      <c r="R547" s="11">
        <f>IFERROR(VLOOKUP(G547,Paramètres!$B$6:$F$8,3,FALSE()),"")</f>
        <v>2</v>
      </c>
      <c r="S547" s="11" t="str">
        <f t="shared" ca="1" si="50"/>
        <v>-</v>
      </c>
      <c r="T547" s="12">
        <v>46260</v>
      </c>
      <c r="U547" s="11">
        <f t="shared" si="51"/>
        <v>7</v>
      </c>
      <c r="V547" s="11">
        <f t="shared" si="52"/>
        <v>7</v>
      </c>
      <c r="W547" s="11" t="str">
        <f t="shared" si="53"/>
        <v>Hors délais</v>
      </c>
    </row>
    <row r="548" spans="1:23">
      <c r="A548" s="11">
        <v>532</v>
      </c>
      <c r="B548" s="12">
        <v>46246</v>
      </c>
      <c r="C548" s="13" t="s">
        <v>1429</v>
      </c>
      <c r="D548" s="13" t="s">
        <v>81</v>
      </c>
      <c r="E548" s="13" t="s">
        <v>1430</v>
      </c>
      <c r="F548" s="13" t="s">
        <v>1431</v>
      </c>
      <c r="G548" s="11" t="s">
        <v>53</v>
      </c>
      <c r="H548" s="11" t="str">
        <f>IFERROR(VLOOKUP(G548,Paramètres!$B$6:$F$8,2,FALSE()),"")</f>
        <v>N/A</v>
      </c>
      <c r="I548" s="13" t="s">
        <v>85</v>
      </c>
      <c r="J548" s="11" t="s">
        <v>41</v>
      </c>
      <c r="K548" s="12">
        <v>46246</v>
      </c>
      <c r="L548" s="12">
        <v>46246</v>
      </c>
      <c r="M548" s="13"/>
      <c r="N548" s="14" t="s">
        <v>43</v>
      </c>
      <c r="O548" s="12"/>
      <c r="P548" s="11" t="str">
        <f t="shared" si="48"/>
        <v>-</v>
      </c>
      <c r="Q548" s="11" t="str">
        <f t="shared" ca="1" si="49"/>
        <v>-</v>
      </c>
      <c r="R548" s="11" t="str">
        <f>IFERROR(VLOOKUP(G548,Paramètres!$B$6:$F$8,3,FALSE()),"")</f>
        <v>N/A</v>
      </c>
      <c r="S548" s="11" t="str">
        <f t="shared" ca="1" si="50"/>
        <v>-</v>
      </c>
      <c r="T548" s="12"/>
      <c r="U548" s="11" t="str">
        <f t="shared" si="51"/>
        <v>-</v>
      </c>
      <c r="V548" s="11" t="str">
        <f t="shared" si="52"/>
        <v>-</v>
      </c>
      <c r="W548" s="11" t="str">
        <f t="shared" si="53"/>
        <v>Ne nécessite pas de réponse</v>
      </c>
    </row>
    <row r="549" spans="1:23">
      <c r="A549" s="11">
        <v>533</v>
      </c>
      <c r="B549" s="12">
        <v>46246</v>
      </c>
      <c r="C549" s="13" t="s">
        <v>1432</v>
      </c>
      <c r="D549" s="13" t="s">
        <v>115</v>
      </c>
      <c r="E549" s="13" t="s">
        <v>1433</v>
      </c>
      <c r="F549" s="13" t="s">
        <v>1434</v>
      </c>
      <c r="G549" s="11" t="s">
        <v>53</v>
      </c>
      <c r="H549" s="11" t="str">
        <f>IFERROR(VLOOKUP(G549,Paramètres!$B$6:$F$8,2,FALSE()),"")</f>
        <v>N/A</v>
      </c>
      <c r="I549" s="13" t="s">
        <v>40</v>
      </c>
      <c r="J549" s="11" t="s">
        <v>41</v>
      </c>
      <c r="K549" s="12">
        <v>46246</v>
      </c>
      <c r="L549" s="12">
        <v>46247</v>
      </c>
      <c r="M549" s="13" t="s">
        <v>61</v>
      </c>
      <c r="N549" s="14" t="s">
        <v>76</v>
      </c>
      <c r="O549" s="12"/>
      <c r="P549" s="11" t="str">
        <f t="shared" si="48"/>
        <v>-</v>
      </c>
      <c r="Q549" s="11" t="str">
        <f t="shared" ca="1" si="49"/>
        <v>-</v>
      </c>
      <c r="R549" s="11" t="str">
        <f>IFERROR(VLOOKUP(G549,Paramètres!$B$6:$F$8,3,FALSE()),"")</f>
        <v>N/A</v>
      </c>
      <c r="S549" s="11" t="str">
        <f t="shared" ca="1" si="50"/>
        <v>-</v>
      </c>
      <c r="T549" s="12"/>
      <c r="U549" s="11" t="str">
        <f t="shared" si="51"/>
        <v>-</v>
      </c>
      <c r="V549" s="11" t="str">
        <f t="shared" si="52"/>
        <v>-</v>
      </c>
      <c r="W549" s="11" t="str">
        <f t="shared" si="53"/>
        <v>Ne nécessite pas de réponse</v>
      </c>
    </row>
    <row r="550" spans="1:23">
      <c r="A550" s="11">
        <v>534</v>
      </c>
      <c r="B550" s="12">
        <v>46247</v>
      </c>
      <c r="C550" s="13" t="s">
        <v>1435</v>
      </c>
      <c r="D550" s="13" t="s">
        <v>81</v>
      </c>
      <c r="E550" s="13" t="s">
        <v>1436</v>
      </c>
      <c r="F550" s="13" t="s">
        <v>1437</v>
      </c>
      <c r="G550" s="11" t="s">
        <v>39</v>
      </c>
      <c r="H550" s="11">
        <f>IFERROR(VLOOKUP(G550,Paramètres!$B$6:$F$8,2,FALSE()),"")</f>
        <v>5</v>
      </c>
      <c r="I550" s="13" t="s">
        <v>85</v>
      </c>
      <c r="J550" s="11" t="s">
        <v>41</v>
      </c>
      <c r="K550" s="12">
        <v>46247</v>
      </c>
      <c r="L550" s="12">
        <v>46248</v>
      </c>
      <c r="M550" s="13" t="s">
        <v>49</v>
      </c>
      <c r="N550" s="14" t="s">
        <v>43</v>
      </c>
      <c r="O550" s="12">
        <v>46251</v>
      </c>
      <c r="P550" s="11">
        <f t="shared" si="48"/>
        <v>4</v>
      </c>
      <c r="Q550" s="11" t="str">
        <f t="shared" ca="1" si="49"/>
        <v>-</v>
      </c>
      <c r="R550" s="11">
        <f>IFERROR(VLOOKUP(G550,Paramètres!$B$6:$F$8,3,FALSE()),"")</f>
        <v>2</v>
      </c>
      <c r="S550" s="11" t="str">
        <f t="shared" ca="1" si="50"/>
        <v>-</v>
      </c>
      <c r="T550" s="12">
        <v>46253</v>
      </c>
      <c r="U550" s="11">
        <f t="shared" si="51"/>
        <v>2</v>
      </c>
      <c r="V550" s="11">
        <f t="shared" si="52"/>
        <v>-1</v>
      </c>
      <c r="W550" s="11" t="str">
        <f t="shared" si="53"/>
        <v>Dans les délais</v>
      </c>
    </row>
    <row r="551" spans="1:23">
      <c r="A551" s="11">
        <v>535</v>
      </c>
      <c r="B551" s="12">
        <v>46247</v>
      </c>
      <c r="C551" s="13" t="s">
        <v>1438</v>
      </c>
      <c r="D551" s="13" t="s">
        <v>81</v>
      </c>
      <c r="E551" s="13" t="s">
        <v>1439</v>
      </c>
      <c r="F551" s="13" t="s">
        <v>1440</v>
      </c>
      <c r="G551" s="11" t="s">
        <v>39</v>
      </c>
      <c r="H551" s="11">
        <f>IFERROR(VLOOKUP(G551,Paramètres!$B$6:$F$8,2,FALSE()),"")</f>
        <v>5</v>
      </c>
      <c r="I551" s="13" t="s">
        <v>190</v>
      </c>
      <c r="J551" s="11" t="s">
        <v>48</v>
      </c>
      <c r="K551" s="12">
        <v>46247</v>
      </c>
      <c r="L551" s="12">
        <v>46247</v>
      </c>
      <c r="M551" s="13" t="s">
        <v>61</v>
      </c>
      <c r="N551" s="14" t="s">
        <v>50</v>
      </c>
      <c r="O551" s="12">
        <v>46254</v>
      </c>
      <c r="P551" s="11">
        <f t="shared" si="48"/>
        <v>7</v>
      </c>
      <c r="Q551" s="11" t="str">
        <f t="shared" ca="1" si="49"/>
        <v>-</v>
      </c>
      <c r="R551" s="11">
        <f>IFERROR(VLOOKUP(G551,Paramètres!$B$6:$F$8,3,FALSE()),"")</f>
        <v>2</v>
      </c>
      <c r="S551" s="11" t="str">
        <f t="shared" ca="1" si="50"/>
        <v>-</v>
      </c>
      <c r="T551" s="12">
        <v>46255</v>
      </c>
      <c r="U551" s="11">
        <f t="shared" si="51"/>
        <v>1</v>
      </c>
      <c r="V551" s="11">
        <f t="shared" si="52"/>
        <v>1</v>
      </c>
      <c r="W551" s="11" t="str">
        <f t="shared" si="53"/>
        <v>Hors délais</v>
      </c>
    </row>
    <row r="552" spans="1:23">
      <c r="A552" s="11">
        <v>536</v>
      </c>
      <c r="B552" s="12">
        <v>46247</v>
      </c>
      <c r="C552" s="13" t="s">
        <v>1441</v>
      </c>
      <c r="D552" s="13" t="s">
        <v>137</v>
      </c>
      <c r="E552" s="13"/>
      <c r="F552" s="13" t="s">
        <v>1442</v>
      </c>
      <c r="G552" s="11" t="s">
        <v>39</v>
      </c>
      <c r="H552" s="11">
        <f>IFERROR(VLOOKUP(G552,Paramètres!$B$6:$F$8,2,FALSE()),"")</f>
        <v>5</v>
      </c>
      <c r="I552" s="13" t="s">
        <v>168</v>
      </c>
      <c r="J552" s="11" t="s">
        <v>48</v>
      </c>
      <c r="K552" s="12">
        <v>46248</v>
      </c>
      <c r="L552" s="12">
        <v>46248</v>
      </c>
      <c r="M552" s="13" t="s">
        <v>56</v>
      </c>
      <c r="N552" s="14" t="s">
        <v>50</v>
      </c>
      <c r="O552" s="12">
        <v>46252</v>
      </c>
      <c r="P552" s="11">
        <f t="shared" si="48"/>
        <v>5</v>
      </c>
      <c r="Q552" s="11" t="str">
        <f t="shared" ca="1" si="49"/>
        <v>-</v>
      </c>
      <c r="R552" s="11">
        <f>IFERROR(VLOOKUP(G552,Paramètres!$B$6:$F$8,3,FALSE()),"")</f>
        <v>2</v>
      </c>
      <c r="S552" s="11" t="str">
        <f t="shared" ca="1" si="50"/>
        <v>-</v>
      </c>
      <c r="T552" s="12">
        <v>46254</v>
      </c>
      <c r="U552" s="11">
        <f t="shared" si="51"/>
        <v>2</v>
      </c>
      <c r="V552" s="11">
        <f t="shared" si="52"/>
        <v>0</v>
      </c>
      <c r="W552" s="11" t="str">
        <f t="shared" si="53"/>
        <v>Dans les délais</v>
      </c>
    </row>
    <row r="553" spans="1:23">
      <c r="A553" s="11">
        <v>537</v>
      </c>
      <c r="B553" s="12">
        <v>46247</v>
      </c>
      <c r="C553" s="13" t="s">
        <v>1443</v>
      </c>
      <c r="D553" s="13" t="s">
        <v>63</v>
      </c>
      <c r="E553" s="13"/>
      <c r="F553" s="13" t="s">
        <v>1444</v>
      </c>
      <c r="G553" s="11" t="s">
        <v>39</v>
      </c>
      <c r="H553" s="11">
        <f>IFERROR(VLOOKUP(G553,Paramètres!$B$6:$F$8,2,FALSE()),"")</f>
        <v>5</v>
      </c>
      <c r="I553" s="13" t="s">
        <v>185</v>
      </c>
      <c r="J553" s="11" t="s">
        <v>48</v>
      </c>
      <c r="K553" s="12">
        <v>46247</v>
      </c>
      <c r="L553" s="12">
        <v>46247</v>
      </c>
      <c r="M553" s="13" t="s">
        <v>42</v>
      </c>
      <c r="N553" s="14" t="s">
        <v>50</v>
      </c>
      <c r="O553" s="12">
        <v>46252</v>
      </c>
      <c r="P553" s="11">
        <f t="shared" si="48"/>
        <v>5</v>
      </c>
      <c r="Q553" s="11" t="str">
        <f t="shared" ca="1" si="49"/>
        <v>-</v>
      </c>
      <c r="R553" s="11">
        <f>IFERROR(VLOOKUP(G553,Paramètres!$B$6:$F$8,3,FALSE()),"")</f>
        <v>2</v>
      </c>
      <c r="S553" s="11" t="str">
        <f t="shared" ca="1" si="50"/>
        <v>-</v>
      </c>
      <c r="T553" s="12">
        <v>46253</v>
      </c>
      <c r="U553" s="11">
        <f t="shared" si="51"/>
        <v>1</v>
      </c>
      <c r="V553" s="11">
        <f t="shared" si="52"/>
        <v>-1</v>
      </c>
      <c r="W553" s="11" t="str">
        <f t="shared" si="53"/>
        <v>Dans les délais</v>
      </c>
    </row>
    <row r="554" spans="1:23">
      <c r="A554" s="11">
        <v>538</v>
      </c>
      <c r="B554" s="12">
        <v>46247</v>
      </c>
      <c r="C554" s="13" t="s">
        <v>1445</v>
      </c>
      <c r="D554" s="13" t="s">
        <v>178</v>
      </c>
      <c r="E554" s="13" t="s">
        <v>1446</v>
      </c>
      <c r="F554" s="13" t="s">
        <v>1447</v>
      </c>
      <c r="G554" s="11" t="s">
        <v>53</v>
      </c>
      <c r="H554" s="11" t="str">
        <f>IFERROR(VLOOKUP(G554,Paramètres!$B$6:$F$8,2,FALSE()),"")</f>
        <v>N/A</v>
      </c>
      <c r="I554" s="13" t="s">
        <v>65</v>
      </c>
      <c r="J554" s="11" t="s">
        <v>55</v>
      </c>
      <c r="K554" s="12">
        <v>46247</v>
      </c>
      <c r="L554" s="12">
        <v>46247</v>
      </c>
      <c r="M554" s="13"/>
      <c r="N554" s="14" t="s">
        <v>66</v>
      </c>
      <c r="O554" s="12"/>
      <c r="P554" s="11" t="str">
        <f t="shared" si="48"/>
        <v>-</v>
      </c>
      <c r="Q554" s="11" t="str">
        <f t="shared" ca="1" si="49"/>
        <v>-</v>
      </c>
      <c r="R554" s="11" t="str">
        <f>IFERROR(VLOOKUP(G554,Paramètres!$B$6:$F$8,3,FALSE()),"")</f>
        <v>N/A</v>
      </c>
      <c r="S554" s="11" t="str">
        <f t="shared" ca="1" si="50"/>
        <v>-</v>
      </c>
      <c r="T554" s="12"/>
      <c r="U554" s="11" t="str">
        <f t="shared" si="51"/>
        <v>-</v>
      </c>
      <c r="V554" s="11" t="str">
        <f t="shared" si="52"/>
        <v>-</v>
      </c>
      <c r="W554" s="11" t="str">
        <f t="shared" si="53"/>
        <v>Ne nécessite pas de réponse</v>
      </c>
    </row>
    <row r="555" spans="1:23">
      <c r="A555" s="11">
        <v>539</v>
      </c>
      <c r="B555" s="12">
        <v>46248</v>
      </c>
      <c r="C555" s="13" t="s">
        <v>1448</v>
      </c>
      <c r="D555" s="13" t="s">
        <v>123</v>
      </c>
      <c r="E555" s="13" t="s">
        <v>1449</v>
      </c>
      <c r="F555" s="13" t="s">
        <v>1450</v>
      </c>
      <c r="G555" s="11" t="s">
        <v>39</v>
      </c>
      <c r="H555" s="11">
        <f>IFERROR(VLOOKUP(G555,Paramètres!$B$6:$F$8,2,FALSE()),"")</f>
        <v>5</v>
      </c>
      <c r="I555" s="13" t="s">
        <v>65</v>
      </c>
      <c r="J555" s="11" t="s">
        <v>55</v>
      </c>
      <c r="K555" s="12">
        <v>46251</v>
      </c>
      <c r="L555" s="12">
        <v>46251</v>
      </c>
      <c r="M555" s="13"/>
      <c r="N555" s="14" t="s">
        <v>66</v>
      </c>
      <c r="O555" s="12">
        <v>46258</v>
      </c>
      <c r="P555" s="11">
        <f t="shared" si="48"/>
        <v>10</v>
      </c>
      <c r="Q555" s="11" t="str">
        <f t="shared" ca="1" si="49"/>
        <v>-</v>
      </c>
      <c r="R555" s="11">
        <f>IFERROR(VLOOKUP(G555,Paramètres!$B$6:$F$8,3,FALSE()),"")</f>
        <v>2</v>
      </c>
      <c r="S555" s="11" t="str">
        <f t="shared" ca="1" si="50"/>
        <v>-</v>
      </c>
      <c r="T555" s="12">
        <v>46258</v>
      </c>
      <c r="U555" s="11">
        <f t="shared" si="51"/>
        <v>0</v>
      </c>
      <c r="V555" s="11">
        <f t="shared" si="52"/>
        <v>3</v>
      </c>
      <c r="W555" s="11" t="str">
        <f t="shared" si="53"/>
        <v>Hors délais</v>
      </c>
    </row>
    <row r="556" spans="1:23">
      <c r="A556" s="11">
        <v>540</v>
      </c>
      <c r="B556" s="12">
        <v>46248</v>
      </c>
      <c r="C556" s="13" t="s">
        <v>1451</v>
      </c>
      <c r="D556" s="13" t="s">
        <v>104</v>
      </c>
      <c r="E556" s="13" t="s">
        <v>1452</v>
      </c>
      <c r="F556" s="13" t="s">
        <v>1453</v>
      </c>
      <c r="G556" s="11" t="s">
        <v>84</v>
      </c>
      <c r="H556" s="11">
        <f>IFERROR(VLOOKUP(G556,Paramètres!$B$6:$F$8,2,FALSE()),"")</f>
        <v>5</v>
      </c>
      <c r="I556" s="13" t="s">
        <v>168</v>
      </c>
      <c r="J556" s="11" t="s">
        <v>48</v>
      </c>
      <c r="K556" s="12">
        <v>46248</v>
      </c>
      <c r="L556" s="12">
        <v>46248</v>
      </c>
      <c r="M556" s="13" t="s">
        <v>56</v>
      </c>
      <c r="N556" s="14" t="s">
        <v>121</v>
      </c>
      <c r="O556" s="12">
        <v>46258</v>
      </c>
      <c r="P556" s="11">
        <f t="shared" si="48"/>
        <v>10</v>
      </c>
      <c r="Q556" s="11" t="str">
        <f t="shared" ca="1" si="49"/>
        <v>-</v>
      </c>
      <c r="R556" s="11">
        <f>IFERROR(VLOOKUP(G556,Paramètres!$B$6:$F$8,3,FALSE()),"")</f>
        <v>2</v>
      </c>
      <c r="S556" s="11" t="str">
        <f t="shared" ca="1" si="50"/>
        <v>-</v>
      </c>
      <c r="T556" s="12">
        <v>46259</v>
      </c>
      <c r="U556" s="11">
        <f t="shared" si="51"/>
        <v>1</v>
      </c>
      <c r="V556" s="11">
        <f t="shared" si="52"/>
        <v>4</v>
      </c>
      <c r="W556" s="11" t="str">
        <f t="shared" si="53"/>
        <v>Hors délais</v>
      </c>
    </row>
    <row r="557" spans="1:23">
      <c r="A557" s="11">
        <v>541</v>
      </c>
      <c r="B557" s="12">
        <v>46248</v>
      </c>
      <c r="C557" s="13" t="s">
        <v>1454</v>
      </c>
      <c r="D557" s="13" t="s">
        <v>89</v>
      </c>
      <c r="E557" s="13" t="s">
        <v>1455</v>
      </c>
      <c r="F557" s="13" t="s">
        <v>1456</v>
      </c>
      <c r="G557" s="11" t="s">
        <v>53</v>
      </c>
      <c r="H557" s="11" t="str">
        <f>IFERROR(VLOOKUP(G557,Paramètres!$B$6:$F$8,2,FALSE()),"")</f>
        <v>N/A</v>
      </c>
      <c r="I557" s="13" t="s">
        <v>120</v>
      </c>
      <c r="J557" s="11" t="s">
        <v>48</v>
      </c>
      <c r="K557" s="12">
        <v>46251</v>
      </c>
      <c r="L557" s="12">
        <v>46251</v>
      </c>
      <c r="M557" s="13" t="s">
        <v>56</v>
      </c>
      <c r="N557" s="14" t="s">
        <v>186</v>
      </c>
      <c r="O557" s="12"/>
      <c r="P557" s="11" t="str">
        <f t="shared" si="48"/>
        <v>-</v>
      </c>
      <c r="Q557" s="11" t="str">
        <f t="shared" ca="1" si="49"/>
        <v>-</v>
      </c>
      <c r="R557" s="11" t="str">
        <f>IFERROR(VLOOKUP(G557,Paramètres!$B$6:$F$8,3,FALSE()),"")</f>
        <v>N/A</v>
      </c>
      <c r="S557" s="11" t="str">
        <f t="shared" ca="1" si="50"/>
        <v>-</v>
      </c>
      <c r="T557" s="12"/>
      <c r="U557" s="11" t="str">
        <f t="shared" si="51"/>
        <v>-</v>
      </c>
      <c r="V557" s="11" t="str">
        <f t="shared" si="52"/>
        <v>-</v>
      </c>
      <c r="W557" s="11" t="str">
        <f t="shared" si="53"/>
        <v>Ne nécessite pas de réponse</v>
      </c>
    </row>
    <row r="558" spans="1:23">
      <c r="A558" s="11">
        <v>542</v>
      </c>
      <c r="B558" s="12">
        <v>46248</v>
      </c>
      <c r="C558" s="13" t="s">
        <v>1457</v>
      </c>
      <c r="D558" s="13" t="s">
        <v>118</v>
      </c>
      <c r="E558" s="13"/>
      <c r="F558" s="13" t="s">
        <v>1458</v>
      </c>
      <c r="G558" s="11" t="s">
        <v>39</v>
      </c>
      <c r="H558" s="11">
        <f>IFERROR(VLOOKUP(G558,Paramètres!$B$6:$F$8,2,FALSE()),"")</f>
        <v>5</v>
      </c>
      <c r="I558" s="13" t="s">
        <v>47</v>
      </c>
      <c r="J558" s="11" t="s">
        <v>48</v>
      </c>
      <c r="K558" s="12">
        <v>46248</v>
      </c>
      <c r="L558" s="12">
        <v>46248</v>
      </c>
      <c r="M558" s="13" t="s">
        <v>56</v>
      </c>
      <c r="N558" s="14" t="s">
        <v>186</v>
      </c>
      <c r="O558" s="12">
        <v>46254</v>
      </c>
      <c r="P558" s="11">
        <f t="shared" si="48"/>
        <v>6</v>
      </c>
      <c r="Q558" s="11" t="str">
        <f t="shared" ca="1" si="49"/>
        <v>-</v>
      </c>
      <c r="R558" s="11">
        <f>IFERROR(VLOOKUP(G558,Paramètres!$B$6:$F$8,3,FALSE()),"")</f>
        <v>2</v>
      </c>
      <c r="S558" s="11" t="str">
        <f t="shared" ca="1" si="50"/>
        <v>-</v>
      </c>
      <c r="T558" s="12">
        <v>46258</v>
      </c>
      <c r="U558" s="11">
        <f t="shared" si="51"/>
        <v>4</v>
      </c>
      <c r="V558" s="11">
        <f t="shared" si="52"/>
        <v>3</v>
      </c>
      <c r="W558" s="11" t="str">
        <f t="shared" si="53"/>
        <v>Hors délais</v>
      </c>
    </row>
    <row r="559" spans="1:23">
      <c r="A559" s="11">
        <v>543</v>
      </c>
      <c r="B559" s="12">
        <v>46248</v>
      </c>
      <c r="C559" s="13" t="s">
        <v>1459</v>
      </c>
      <c r="D559" s="13" t="s">
        <v>248</v>
      </c>
      <c r="E559" s="13" t="s">
        <v>1460</v>
      </c>
      <c r="F559" s="13" t="s">
        <v>1461</v>
      </c>
      <c r="G559" s="11" t="s">
        <v>39</v>
      </c>
      <c r="H559" s="11">
        <f>IFERROR(VLOOKUP(G559,Paramètres!$B$6:$F$8,2,FALSE()),"")</f>
        <v>5</v>
      </c>
      <c r="I559" s="13" t="s">
        <v>426</v>
      </c>
      <c r="J559" s="11" t="s">
        <v>41</v>
      </c>
      <c r="K559" s="12">
        <v>46248</v>
      </c>
      <c r="L559" s="12">
        <v>46251</v>
      </c>
      <c r="M559" s="13" t="s">
        <v>61</v>
      </c>
      <c r="N559" s="14" t="s">
        <v>76</v>
      </c>
      <c r="O559" s="12">
        <v>46253</v>
      </c>
      <c r="P559" s="11">
        <f t="shared" si="48"/>
        <v>5</v>
      </c>
      <c r="Q559" s="11" t="str">
        <f t="shared" ca="1" si="49"/>
        <v>-</v>
      </c>
      <c r="R559" s="11">
        <f>IFERROR(VLOOKUP(G559,Paramètres!$B$6:$F$8,3,FALSE()),"")</f>
        <v>2</v>
      </c>
      <c r="S559" s="11" t="str">
        <f t="shared" ca="1" si="50"/>
        <v>-</v>
      </c>
      <c r="T559" s="12">
        <v>46254</v>
      </c>
      <c r="U559" s="11">
        <f t="shared" si="51"/>
        <v>1</v>
      </c>
      <c r="V559" s="11">
        <f t="shared" si="52"/>
        <v>-1</v>
      </c>
      <c r="W559" s="11" t="str">
        <f t="shared" si="53"/>
        <v>Dans les délais</v>
      </c>
    </row>
    <row r="560" spans="1:23">
      <c r="A560" s="11">
        <v>544</v>
      </c>
      <c r="B560" s="12">
        <v>46248</v>
      </c>
      <c r="C560" s="13" t="s">
        <v>1462</v>
      </c>
      <c r="D560" s="13" t="s">
        <v>178</v>
      </c>
      <c r="E560" s="13"/>
      <c r="F560" s="13" t="s">
        <v>1463</v>
      </c>
      <c r="G560" s="11" t="s">
        <v>39</v>
      </c>
      <c r="H560" s="11">
        <f>IFERROR(VLOOKUP(G560,Paramètres!$B$6:$F$8,2,FALSE()),"")</f>
        <v>5</v>
      </c>
      <c r="I560" s="13" t="s">
        <v>120</v>
      </c>
      <c r="J560" s="11" t="s">
        <v>48</v>
      </c>
      <c r="K560" s="12">
        <v>46251</v>
      </c>
      <c r="L560" s="12">
        <v>46251</v>
      </c>
      <c r="M560" s="13" t="s">
        <v>56</v>
      </c>
      <c r="N560" s="14" t="s">
        <v>186</v>
      </c>
      <c r="O560" s="12">
        <v>46259</v>
      </c>
      <c r="P560" s="11">
        <f t="shared" si="48"/>
        <v>11</v>
      </c>
      <c r="Q560" s="11" t="str">
        <f t="shared" ca="1" si="49"/>
        <v>-</v>
      </c>
      <c r="R560" s="11">
        <f>IFERROR(VLOOKUP(G560,Paramètres!$B$6:$F$8,3,FALSE()),"")</f>
        <v>2</v>
      </c>
      <c r="S560" s="11" t="str">
        <f t="shared" ca="1" si="50"/>
        <v>-</v>
      </c>
      <c r="T560" s="12">
        <v>46262</v>
      </c>
      <c r="U560" s="11">
        <f t="shared" si="51"/>
        <v>3</v>
      </c>
      <c r="V560" s="11">
        <f t="shared" si="52"/>
        <v>7</v>
      </c>
      <c r="W560" s="11" t="str">
        <f t="shared" si="53"/>
        <v>Hors délais</v>
      </c>
    </row>
    <row r="561" spans="1:23">
      <c r="A561" s="11">
        <v>545</v>
      </c>
      <c r="B561" s="12">
        <v>46248</v>
      </c>
      <c r="C561" s="13" t="s">
        <v>1464</v>
      </c>
      <c r="D561" s="13" t="s">
        <v>68</v>
      </c>
      <c r="E561" s="13"/>
      <c r="F561" s="13" t="s">
        <v>1465</v>
      </c>
      <c r="G561" s="11" t="s">
        <v>39</v>
      </c>
      <c r="H561" s="11">
        <f>IFERROR(VLOOKUP(G561,Paramètres!$B$6:$F$8,2,FALSE()),"")</f>
        <v>5</v>
      </c>
      <c r="I561" s="13" t="s">
        <v>91</v>
      </c>
      <c r="J561" s="11" t="s">
        <v>41</v>
      </c>
      <c r="K561" s="12">
        <v>46248</v>
      </c>
      <c r="L561" s="12">
        <v>46248</v>
      </c>
      <c r="M561" s="13" t="s">
        <v>49</v>
      </c>
      <c r="N561" s="14" t="s">
        <v>76</v>
      </c>
      <c r="O561" s="12">
        <v>46253</v>
      </c>
      <c r="P561" s="11">
        <f t="shared" si="48"/>
        <v>5</v>
      </c>
      <c r="Q561" s="11" t="str">
        <f t="shared" ca="1" si="49"/>
        <v>-</v>
      </c>
      <c r="R561" s="11">
        <f>IFERROR(VLOOKUP(G561,Paramètres!$B$6:$F$8,3,FALSE()),"")</f>
        <v>2</v>
      </c>
      <c r="S561" s="11" t="str">
        <f t="shared" ca="1" si="50"/>
        <v>-</v>
      </c>
      <c r="T561" s="12">
        <v>46258</v>
      </c>
      <c r="U561" s="11">
        <f t="shared" si="51"/>
        <v>5</v>
      </c>
      <c r="V561" s="11">
        <f t="shared" si="52"/>
        <v>3</v>
      </c>
      <c r="W561" s="11" t="str">
        <f t="shared" si="53"/>
        <v>Hors délais</v>
      </c>
    </row>
    <row r="562" spans="1:23">
      <c r="A562" s="11">
        <v>546</v>
      </c>
      <c r="B562" s="12">
        <v>46251</v>
      </c>
      <c r="C562" s="13" t="s">
        <v>1466</v>
      </c>
      <c r="D562" s="13" t="s">
        <v>230</v>
      </c>
      <c r="E562" s="13" t="s">
        <v>1467</v>
      </c>
      <c r="F562" s="13" t="s">
        <v>1468</v>
      </c>
      <c r="G562" s="11" t="s">
        <v>39</v>
      </c>
      <c r="H562" s="11">
        <f>IFERROR(VLOOKUP(G562,Paramètres!$B$6:$F$8,2,FALSE()),"")</f>
        <v>5</v>
      </c>
      <c r="I562" s="13" t="s">
        <v>71</v>
      </c>
      <c r="J562" s="11" t="s">
        <v>41</v>
      </c>
      <c r="K562" s="12">
        <v>46251</v>
      </c>
      <c r="L562" s="12">
        <v>46251</v>
      </c>
      <c r="M562" s="13"/>
      <c r="N562" s="14" t="s">
        <v>76</v>
      </c>
      <c r="O562" s="12">
        <v>46254</v>
      </c>
      <c r="P562" s="11">
        <f t="shared" si="48"/>
        <v>3</v>
      </c>
      <c r="Q562" s="11" t="str">
        <f t="shared" ca="1" si="49"/>
        <v>-</v>
      </c>
      <c r="R562" s="11">
        <f>IFERROR(VLOOKUP(G562,Paramètres!$B$6:$F$8,3,FALSE()),"")</f>
        <v>2</v>
      </c>
      <c r="S562" s="11" t="str">
        <f t="shared" ca="1" si="50"/>
        <v>-</v>
      </c>
      <c r="T562" s="12">
        <v>46261</v>
      </c>
      <c r="U562" s="11">
        <f t="shared" si="51"/>
        <v>7</v>
      </c>
      <c r="V562" s="11">
        <f t="shared" si="52"/>
        <v>3</v>
      </c>
      <c r="W562" s="11" t="str">
        <f t="shared" si="53"/>
        <v>Hors délais</v>
      </c>
    </row>
    <row r="563" spans="1:23">
      <c r="A563" s="11">
        <v>547</v>
      </c>
      <c r="B563" s="12">
        <v>46251</v>
      </c>
      <c r="C563" s="13" t="s">
        <v>1469</v>
      </c>
      <c r="D563" s="13" t="s">
        <v>123</v>
      </c>
      <c r="E563" s="13"/>
      <c r="F563" s="13" t="s">
        <v>1470</v>
      </c>
      <c r="G563" s="11" t="s">
        <v>39</v>
      </c>
      <c r="H563" s="11">
        <f>IFERROR(VLOOKUP(G563,Paramètres!$B$6:$F$8,2,FALSE()),"")</f>
        <v>5</v>
      </c>
      <c r="I563" s="13" t="s">
        <v>190</v>
      </c>
      <c r="J563" s="11" t="s">
        <v>48</v>
      </c>
      <c r="K563" s="12">
        <v>46252</v>
      </c>
      <c r="L563" s="12">
        <v>46252</v>
      </c>
      <c r="M563" s="13"/>
      <c r="N563" s="14" t="s">
        <v>186</v>
      </c>
      <c r="O563" s="12"/>
      <c r="P563" s="11" t="str">
        <f t="shared" si="48"/>
        <v/>
      </c>
      <c r="Q563" s="11" t="str">
        <f t="shared" ca="1" si="49"/>
        <v>ROUGE</v>
      </c>
      <c r="R563" s="11">
        <f>IFERROR(VLOOKUP(G563,Paramètres!$B$6:$F$8,3,FALSE()),"")</f>
        <v>2</v>
      </c>
      <c r="S563" s="11" t="str">
        <f t="shared" ca="1" si="50"/>
        <v/>
      </c>
      <c r="T563" s="12"/>
      <c r="U563" s="11" t="str">
        <f t="shared" si="51"/>
        <v/>
      </c>
      <c r="V563" s="11" t="str">
        <f t="shared" si="52"/>
        <v/>
      </c>
      <c r="W563" s="11" t="str">
        <f t="shared" si="53"/>
        <v/>
      </c>
    </row>
    <row r="564" spans="1:23">
      <c r="A564" s="11">
        <v>548</v>
      </c>
      <c r="B564" s="12">
        <v>46251</v>
      </c>
      <c r="C564" s="13" t="s">
        <v>1471</v>
      </c>
      <c r="D564" s="13" t="s">
        <v>104</v>
      </c>
      <c r="E564" s="13" t="s">
        <v>1472</v>
      </c>
      <c r="F564" s="13" t="s">
        <v>1473</v>
      </c>
      <c r="G564" s="11" t="s">
        <v>39</v>
      </c>
      <c r="H564" s="11">
        <f>IFERROR(VLOOKUP(G564,Paramètres!$B$6:$F$8,2,FALSE()),"")</f>
        <v>5</v>
      </c>
      <c r="I564" s="13" t="s">
        <v>228</v>
      </c>
      <c r="J564" s="11" t="s">
        <v>55</v>
      </c>
      <c r="K564" s="12">
        <v>46252</v>
      </c>
      <c r="L564" s="12">
        <v>46252</v>
      </c>
      <c r="M564" s="13"/>
      <c r="N564" s="14" t="s">
        <v>66</v>
      </c>
      <c r="O564" s="12">
        <v>46255</v>
      </c>
      <c r="P564" s="11">
        <f t="shared" si="48"/>
        <v>4</v>
      </c>
      <c r="Q564" s="11" t="str">
        <f t="shared" ca="1" si="49"/>
        <v>-</v>
      </c>
      <c r="R564" s="11">
        <f>IFERROR(VLOOKUP(G564,Paramètres!$B$6:$F$8,3,FALSE()),"")</f>
        <v>2</v>
      </c>
      <c r="S564" s="11" t="str">
        <f t="shared" ca="1" si="50"/>
        <v>-</v>
      </c>
      <c r="T564" s="12">
        <v>46258</v>
      </c>
      <c r="U564" s="11">
        <f t="shared" si="51"/>
        <v>3</v>
      </c>
      <c r="V564" s="11">
        <f t="shared" si="52"/>
        <v>0</v>
      </c>
      <c r="W564" s="11" t="str">
        <f t="shared" si="53"/>
        <v>Dans les délais</v>
      </c>
    </row>
    <row r="565" spans="1:23" ht="28.5">
      <c r="A565" s="11">
        <v>549</v>
      </c>
      <c r="B565" s="12">
        <v>46251</v>
      </c>
      <c r="C565" s="13" t="s">
        <v>1474</v>
      </c>
      <c r="D565" s="13" t="s">
        <v>137</v>
      </c>
      <c r="E565" s="13"/>
      <c r="F565" s="13" t="s">
        <v>1475</v>
      </c>
      <c r="G565" s="11" t="s">
        <v>39</v>
      </c>
      <c r="H565" s="11">
        <f>IFERROR(VLOOKUP(G565,Paramètres!$B$6:$F$8,2,FALSE()),"")</f>
        <v>5</v>
      </c>
      <c r="I565" s="13" t="s">
        <v>130</v>
      </c>
      <c r="J565" s="11" t="s">
        <v>48</v>
      </c>
      <c r="K565" s="12">
        <v>46252</v>
      </c>
      <c r="L565" s="12">
        <v>46253</v>
      </c>
      <c r="M565" s="13" t="s">
        <v>75</v>
      </c>
      <c r="N565" s="14" t="s">
        <v>186</v>
      </c>
      <c r="O565" s="12">
        <v>46254</v>
      </c>
      <c r="P565" s="11">
        <f t="shared" si="48"/>
        <v>3</v>
      </c>
      <c r="Q565" s="11" t="str">
        <f t="shared" ca="1" si="49"/>
        <v>-</v>
      </c>
      <c r="R565" s="11">
        <f>IFERROR(VLOOKUP(G565,Paramètres!$B$6:$F$8,3,FALSE()),"")</f>
        <v>2</v>
      </c>
      <c r="S565" s="11" t="str">
        <f t="shared" ca="1" si="50"/>
        <v>-</v>
      </c>
      <c r="T565" s="12">
        <v>46259</v>
      </c>
      <c r="U565" s="11">
        <f t="shared" si="51"/>
        <v>5</v>
      </c>
      <c r="V565" s="11">
        <f t="shared" si="52"/>
        <v>1</v>
      </c>
      <c r="W565" s="11" t="str">
        <f t="shared" si="53"/>
        <v>Hors délais</v>
      </c>
    </row>
    <row r="566" spans="1:23">
      <c r="A566" s="11">
        <v>550</v>
      </c>
      <c r="B566" s="12">
        <v>46252</v>
      </c>
      <c r="C566" s="13" t="s">
        <v>1476</v>
      </c>
      <c r="D566" s="13" t="s">
        <v>37</v>
      </c>
      <c r="E566" s="13" t="s">
        <v>1477</v>
      </c>
      <c r="F566" s="13" t="s">
        <v>1478</v>
      </c>
      <c r="G566" s="11" t="s">
        <v>39</v>
      </c>
      <c r="H566" s="11">
        <f>IFERROR(VLOOKUP(G566,Paramètres!$B$6:$F$8,2,FALSE()),"")</f>
        <v>5</v>
      </c>
      <c r="I566" s="13" t="s">
        <v>65</v>
      </c>
      <c r="J566" s="11" t="s">
        <v>55</v>
      </c>
      <c r="K566" s="12">
        <v>46253</v>
      </c>
      <c r="L566" s="12">
        <v>46254</v>
      </c>
      <c r="M566" s="13" t="s">
        <v>49</v>
      </c>
      <c r="N566" s="14" t="s">
        <v>66</v>
      </c>
      <c r="O566" s="12">
        <v>46255</v>
      </c>
      <c r="P566" s="11">
        <f t="shared" si="48"/>
        <v>3</v>
      </c>
      <c r="Q566" s="11" t="str">
        <f t="shared" ca="1" si="49"/>
        <v>-</v>
      </c>
      <c r="R566" s="11">
        <f>IFERROR(VLOOKUP(G566,Paramètres!$B$6:$F$8,3,FALSE()),"")</f>
        <v>2</v>
      </c>
      <c r="S566" s="11" t="str">
        <f t="shared" ca="1" si="50"/>
        <v>-</v>
      </c>
      <c r="T566" s="12">
        <v>46259</v>
      </c>
      <c r="U566" s="11">
        <f t="shared" si="51"/>
        <v>4</v>
      </c>
      <c r="V566" s="11">
        <f t="shared" si="52"/>
        <v>0</v>
      </c>
      <c r="W566" s="11" t="str">
        <f t="shared" si="53"/>
        <v>Dans les délais</v>
      </c>
    </row>
    <row r="567" spans="1:23">
      <c r="A567" s="11">
        <v>551</v>
      </c>
      <c r="B567" s="12">
        <v>46252</v>
      </c>
      <c r="C567" s="13" t="s">
        <v>1479</v>
      </c>
      <c r="D567" s="13" t="s">
        <v>175</v>
      </c>
      <c r="E567" s="13" t="s">
        <v>1480</v>
      </c>
      <c r="F567" s="13" t="s">
        <v>1481</v>
      </c>
      <c r="G567" s="11" t="s">
        <v>39</v>
      </c>
      <c r="H567" s="11">
        <f>IFERROR(VLOOKUP(G567,Paramètres!$B$6:$F$8,2,FALSE()),"")</f>
        <v>5</v>
      </c>
      <c r="I567" s="13" t="s">
        <v>94</v>
      </c>
      <c r="J567" s="11" t="s">
        <v>55</v>
      </c>
      <c r="K567" s="12">
        <v>46253</v>
      </c>
      <c r="L567" s="12">
        <v>46253</v>
      </c>
      <c r="M567" s="13"/>
      <c r="N567" s="14" t="s">
        <v>102</v>
      </c>
      <c r="O567" s="12">
        <v>46258</v>
      </c>
      <c r="P567" s="11">
        <f t="shared" si="48"/>
        <v>6</v>
      </c>
      <c r="Q567" s="11" t="str">
        <f t="shared" ca="1" si="49"/>
        <v>-</v>
      </c>
      <c r="R567" s="11">
        <f>IFERROR(VLOOKUP(G567,Paramètres!$B$6:$F$8,3,FALSE()),"")</f>
        <v>2</v>
      </c>
      <c r="S567" s="11" t="str">
        <f t="shared" ca="1" si="50"/>
        <v>-</v>
      </c>
      <c r="T567" s="12">
        <v>46261</v>
      </c>
      <c r="U567" s="11">
        <f t="shared" si="51"/>
        <v>3</v>
      </c>
      <c r="V567" s="11">
        <f t="shared" si="52"/>
        <v>2</v>
      </c>
      <c r="W567" s="11" t="str">
        <f t="shared" si="53"/>
        <v>Hors délais</v>
      </c>
    </row>
    <row r="568" spans="1:23">
      <c r="A568" s="11">
        <v>552</v>
      </c>
      <c r="B568" s="12">
        <v>46252</v>
      </c>
      <c r="C568" s="13" t="s">
        <v>1482</v>
      </c>
      <c r="D568" s="13" t="s">
        <v>81</v>
      </c>
      <c r="E568" s="13"/>
      <c r="F568" s="13" t="s">
        <v>1483</v>
      </c>
      <c r="G568" s="11" t="s">
        <v>39</v>
      </c>
      <c r="H568" s="11">
        <f>IFERROR(VLOOKUP(G568,Paramètres!$B$6:$F$8,2,FALSE()),"")</f>
        <v>5</v>
      </c>
      <c r="I568" s="13" t="s">
        <v>108</v>
      </c>
      <c r="J568" s="11" t="s">
        <v>55</v>
      </c>
      <c r="K568" s="12">
        <v>46252</v>
      </c>
      <c r="L568" s="12">
        <v>46252</v>
      </c>
      <c r="M568" s="13" t="s">
        <v>86</v>
      </c>
      <c r="N568" s="14" t="s">
        <v>66</v>
      </c>
      <c r="O568" s="12">
        <v>46255</v>
      </c>
      <c r="P568" s="11">
        <f t="shared" si="48"/>
        <v>3</v>
      </c>
      <c r="Q568" s="11" t="str">
        <f t="shared" ca="1" si="49"/>
        <v>-</v>
      </c>
      <c r="R568" s="11">
        <f>IFERROR(VLOOKUP(G568,Paramètres!$B$6:$F$8,3,FALSE()),"")</f>
        <v>2</v>
      </c>
      <c r="S568" s="11" t="str">
        <f t="shared" ca="1" si="50"/>
        <v>-</v>
      </c>
      <c r="T568" s="12">
        <v>46259</v>
      </c>
      <c r="U568" s="11">
        <f t="shared" si="51"/>
        <v>4</v>
      </c>
      <c r="V568" s="11">
        <f t="shared" si="52"/>
        <v>0</v>
      </c>
      <c r="W568" s="11" t="str">
        <f t="shared" si="53"/>
        <v>Dans les délais</v>
      </c>
    </row>
    <row r="569" spans="1:23" ht="28.5">
      <c r="A569" s="11">
        <v>553</v>
      </c>
      <c r="B569" s="12">
        <v>46252</v>
      </c>
      <c r="C569" s="13" t="s">
        <v>1484</v>
      </c>
      <c r="D569" s="13" t="s">
        <v>100</v>
      </c>
      <c r="E569" s="13" t="s">
        <v>1485</v>
      </c>
      <c r="F569" s="13" t="s">
        <v>1486</v>
      </c>
      <c r="G569" s="11" t="s">
        <v>53</v>
      </c>
      <c r="H569" s="11" t="str">
        <f>IFERROR(VLOOKUP(G569,Paramètres!$B$6:$F$8,2,FALSE()),"")</f>
        <v>N/A</v>
      </c>
      <c r="I569" s="13" t="s">
        <v>228</v>
      </c>
      <c r="J569" s="11" t="s">
        <v>55</v>
      </c>
      <c r="K569" s="12">
        <v>46253</v>
      </c>
      <c r="L569" s="12">
        <v>46254</v>
      </c>
      <c r="M569" s="13" t="s">
        <v>75</v>
      </c>
      <c r="N569" s="14" t="s">
        <v>66</v>
      </c>
      <c r="O569" s="12"/>
      <c r="P569" s="11" t="str">
        <f t="shared" si="48"/>
        <v>-</v>
      </c>
      <c r="Q569" s="11" t="str">
        <f t="shared" ca="1" si="49"/>
        <v>-</v>
      </c>
      <c r="R569" s="11" t="str">
        <f>IFERROR(VLOOKUP(G569,Paramètres!$B$6:$F$8,3,FALSE()),"")</f>
        <v>N/A</v>
      </c>
      <c r="S569" s="11" t="str">
        <f t="shared" ca="1" si="50"/>
        <v>-</v>
      </c>
      <c r="T569" s="12"/>
      <c r="U569" s="11" t="str">
        <f t="shared" si="51"/>
        <v>-</v>
      </c>
      <c r="V569" s="11" t="str">
        <f t="shared" si="52"/>
        <v>-</v>
      </c>
      <c r="W569" s="11" t="str">
        <f t="shared" si="53"/>
        <v>Ne nécessite pas de réponse</v>
      </c>
    </row>
    <row r="570" spans="1:23">
      <c r="A570" s="11">
        <v>554</v>
      </c>
      <c r="B570" s="12">
        <v>46252</v>
      </c>
      <c r="C570" s="13" t="s">
        <v>1487</v>
      </c>
      <c r="D570" s="13" t="s">
        <v>37</v>
      </c>
      <c r="E570" s="13" t="s">
        <v>1488</v>
      </c>
      <c r="F570" s="13" t="s">
        <v>1489</v>
      </c>
      <c r="G570" s="11" t="s">
        <v>39</v>
      </c>
      <c r="H570" s="11">
        <f>IFERROR(VLOOKUP(G570,Paramètres!$B$6:$F$8,2,FALSE()),"")</f>
        <v>5</v>
      </c>
      <c r="I570" s="13" t="s">
        <v>185</v>
      </c>
      <c r="J570" s="11" t="s">
        <v>48</v>
      </c>
      <c r="K570" s="12">
        <v>46253</v>
      </c>
      <c r="L570" s="12">
        <v>46254</v>
      </c>
      <c r="M570" s="13" t="s">
        <v>61</v>
      </c>
      <c r="N570" s="14" t="s">
        <v>50</v>
      </c>
      <c r="O570" s="12">
        <v>46259</v>
      </c>
      <c r="P570" s="11">
        <f t="shared" si="48"/>
        <v>7</v>
      </c>
      <c r="Q570" s="11" t="str">
        <f t="shared" ca="1" si="49"/>
        <v>-</v>
      </c>
      <c r="R570" s="11">
        <f>IFERROR(VLOOKUP(G570,Paramètres!$B$6:$F$8,3,FALSE()),"")</f>
        <v>2</v>
      </c>
      <c r="S570" s="11" t="str">
        <f t="shared" ca="1" si="50"/>
        <v>-</v>
      </c>
      <c r="T570" s="12">
        <v>46260</v>
      </c>
      <c r="U570" s="11">
        <f t="shared" si="51"/>
        <v>1</v>
      </c>
      <c r="V570" s="11">
        <f t="shared" si="52"/>
        <v>1</v>
      </c>
      <c r="W570" s="11" t="str">
        <f t="shared" si="53"/>
        <v>Hors délais</v>
      </c>
    </row>
    <row r="571" spans="1:23">
      <c r="A571" s="11">
        <v>555</v>
      </c>
      <c r="B571" s="12">
        <v>46253</v>
      </c>
      <c r="C571" s="13" t="s">
        <v>1490</v>
      </c>
      <c r="D571" s="13" t="s">
        <v>63</v>
      </c>
      <c r="E571" s="13" t="s">
        <v>1491</v>
      </c>
      <c r="F571" s="13" t="s">
        <v>1492</v>
      </c>
      <c r="G571" s="11" t="s">
        <v>53</v>
      </c>
      <c r="H571" s="11" t="str">
        <f>IFERROR(VLOOKUP(G571,Paramètres!$B$6:$F$8,2,FALSE()),"")</f>
        <v>N/A</v>
      </c>
      <c r="I571" s="13" t="s">
        <v>85</v>
      </c>
      <c r="J571" s="11" t="s">
        <v>41</v>
      </c>
      <c r="K571" s="12">
        <v>46253</v>
      </c>
      <c r="L571" s="12">
        <v>46253</v>
      </c>
      <c r="M571" s="13" t="s">
        <v>42</v>
      </c>
      <c r="N571" s="14" t="s">
        <v>76</v>
      </c>
      <c r="O571" s="12"/>
      <c r="P571" s="11" t="str">
        <f t="shared" si="48"/>
        <v>-</v>
      </c>
      <c r="Q571" s="11" t="str">
        <f t="shared" ca="1" si="49"/>
        <v>-</v>
      </c>
      <c r="R571" s="11" t="str">
        <f>IFERROR(VLOOKUP(G571,Paramètres!$B$6:$F$8,3,FALSE()),"")</f>
        <v>N/A</v>
      </c>
      <c r="S571" s="11" t="str">
        <f t="shared" ca="1" si="50"/>
        <v>-</v>
      </c>
      <c r="T571" s="12"/>
      <c r="U571" s="11" t="str">
        <f t="shared" si="51"/>
        <v>-</v>
      </c>
      <c r="V571" s="11" t="str">
        <f t="shared" si="52"/>
        <v>-</v>
      </c>
      <c r="W571" s="11" t="str">
        <f t="shared" si="53"/>
        <v>Ne nécessite pas de réponse</v>
      </c>
    </row>
    <row r="572" spans="1:23">
      <c r="A572" s="11">
        <v>556</v>
      </c>
      <c r="B572" s="12">
        <v>46253</v>
      </c>
      <c r="C572" s="13" t="s">
        <v>1493</v>
      </c>
      <c r="D572" s="13" t="s">
        <v>175</v>
      </c>
      <c r="E572" s="13" t="s">
        <v>1494</v>
      </c>
      <c r="F572" s="13" t="s">
        <v>1495</v>
      </c>
      <c r="G572" s="11" t="s">
        <v>39</v>
      </c>
      <c r="H572" s="11">
        <f>IFERROR(VLOOKUP(G572,Paramètres!$B$6:$F$8,2,FALSE()),"")</f>
        <v>5</v>
      </c>
      <c r="I572" s="13" t="s">
        <v>240</v>
      </c>
      <c r="J572" s="11" t="s">
        <v>55</v>
      </c>
      <c r="K572" s="12">
        <v>46253</v>
      </c>
      <c r="L572" s="12">
        <v>46254</v>
      </c>
      <c r="M572" s="13" t="s">
        <v>61</v>
      </c>
      <c r="N572" s="14" t="s">
        <v>57</v>
      </c>
      <c r="O572" s="12">
        <v>46266</v>
      </c>
      <c r="P572" s="11">
        <f t="shared" si="48"/>
        <v>13</v>
      </c>
      <c r="Q572" s="11" t="str">
        <f t="shared" ca="1" si="49"/>
        <v>-</v>
      </c>
      <c r="R572" s="11">
        <f>IFERROR(VLOOKUP(G572,Paramètres!$B$6:$F$8,3,FALSE()),"")</f>
        <v>2</v>
      </c>
      <c r="S572" s="11" t="str">
        <f t="shared" ca="1" si="50"/>
        <v>-</v>
      </c>
      <c r="T572" s="12">
        <v>46267</v>
      </c>
      <c r="U572" s="11">
        <f t="shared" si="51"/>
        <v>1</v>
      </c>
      <c r="V572" s="11">
        <f t="shared" si="52"/>
        <v>7</v>
      </c>
      <c r="W572" s="11" t="str">
        <f t="shared" si="53"/>
        <v>Hors délais</v>
      </c>
    </row>
    <row r="573" spans="1:23">
      <c r="A573" s="11">
        <v>557</v>
      </c>
      <c r="B573" s="12">
        <v>46253</v>
      </c>
      <c r="C573" s="13" t="s">
        <v>1496</v>
      </c>
      <c r="D573" s="13" t="s">
        <v>37</v>
      </c>
      <c r="E573" s="13" t="s">
        <v>1497</v>
      </c>
      <c r="F573" s="13" t="s">
        <v>1498</v>
      </c>
      <c r="G573" s="11" t="s">
        <v>39</v>
      </c>
      <c r="H573" s="11">
        <f>IFERROR(VLOOKUP(G573,Paramètres!$B$6:$F$8,2,FALSE()),"")</f>
        <v>5</v>
      </c>
      <c r="I573" s="13" t="s">
        <v>228</v>
      </c>
      <c r="J573" s="11" t="s">
        <v>55</v>
      </c>
      <c r="K573" s="12">
        <v>46254</v>
      </c>
      <c r="L573" s="12">
        <v>46254</v>
      </c>
      <c r="M573" s="13"/>
      <c r="N573" s="14" t="s">
        <v>57</v>
      </c>
      <c r="O573" s="12">
        <v>46259</v>
      </c>
      <c r="P573" s="11">
        <f t="shared" si="48"/>
        <v>6</v>
      </c>
      <c r="Q573" s="11" t="str">
        <f t="shared" ca="1" si="49"/>
        <v>-</v>
      </c>
      <c r="R573" s="11">
        <f>IFERROR(VLOOKUP(G573,Paramètres!$B$6:$F$8,3,FALSE()),"")</f>
        <v>2</v>
      </c>
      <c r="S573" s="11" t="str">
        <f t="shared" ca="1" si="50"/>
        <v>-</v>
      </c>
      <c r="T573" s="12">
        <v>46261</v>
      </c>
      <c r="U573" s="11">
        <f t="shared" si="51"/>
        <v>2</v>
      </c>
      <c r="V573" s="11">
        <f t="shared" si="52"/>
        <v>1</v>
      </c>
      <c r="W573" s="11" t="str">
        <f t="shared" si="53"/>
        <v>Hors délais</v>
      </c>
    </row>
    <row r="574" spans="1:23">
      <c r="A574" s="11">
        <v>558</v>
      </c>
      <c r="B574" s="12">
        <v>46253</v>
      </c>
      <c r="C574" s="13" t="s">
        <v>1499</v>
      </c>
      <c r="D574" s="13" t="s">
        <v>68</v>
      </c>
      <c r="E574" s="13" t="s">
        <v>1500</v>
      </c>
      <c r="F574" s="13" t="s">
        <v>1501</v>
      </c>
      <c r="G574" s="11" t="s">
        <v>39</v>
      </c>
      <c r="H574" s="11">
        <f>IFERROR(VLOOKUP(G574,Paramètres!$B$6:$F$8,2,FALSE()),"")</f>
        <v>5</v>
      </c>
      <c r="I574" s="13" t="s">
        <v>98</v>
      </c>
      <c r="J574" s="11" t="s">
        <v>41</v>
      </c>
      <c r="K574" s="12">
        <v>46253</v>
      </c>
      <c r="L574" s="12">
        <v>46254</v>
      </c>
      <c r="M574" s="13" t="s">
        <v>42</v>
      </c>
      <c r="N574" s="14" t="s">
        <v>87</v>
      </c>
      <c r="O574" s="12">
        <v>46259</v>
      </c>
      <c r="P574" s="11">
        <f t="shared" si="48"/>
        <v>6</v>
      </c>
      <c r="Q574" s="11" t="str">
        <f t="shared" ca="1" si="49"/>
        <v>-</v>
      </c>
      <c r="R574" s="11">
        <f>IFERROR(VLOOKUP(G574,Paramètres!$B$6:$F$8,3,FALSE()),"")</f>
        <v>2</v>
      </c>
      <c r="S574" s="11" t="str">
        <f t="shared" ca="1" si="50"/>
        <v>-</v>
      </c>
      <c r="T574" s="12">
        <v>46261</v>
      </c>
      <c r="U574" s="11">
        <f t="shared" si="51"/>
        <v>2</v>
      </c>
      <c r="V574" s="11">
        <f t="shared" si="52"/>
        <v>1</v>
      </c>
      <c r="W574" s="11" t="str">
        <f t="shared" si="53"/>
        <v>Hors délais</v>
      </c>
    </row>
    <row r="575" spans="1:23">
      <c r="A575" s="11">
        <v>559</v>
      </c>
      <c r="B575" s="12">
        <v>46253</v>
      </c>
      <c r="C575" s="13" t="s">
        <v>1502</v>
      </c>
      <c r="D575" s="13" t="s">
        <v>59</v>
      </c>
      <c r="E575" s="13"/>
      <c r="F575" s="13" t="s">
        <v>1503</v>
      </c>
      <c r="G575" s="11" t="s">
        <v>39</v>
      </c>
      <c r="H575" s="11">
        <f>IFERROR(VLOOKUP(G575,Paramètres!$B$6:$F$8,2,FALSE()),"")</f>
        <v>5</v>
      </c>
      <c r="I575" s="13" t="s">
        <v>65</v>
      </c>
      <c r="J575" s="11" t="s">
        <v>55</v>
      </c>
      <c r="K575" s="12">
        <v>46253</v>
      </c>
      <c r="L575" s="12">
        <v>46253</v>
      </c>
      <c r="M575" s="13"/>
      <c r="N575" s="14" t="s">
        <v>57</v>
      </c>
      <c r="O575" s="12">
        <v>46262</v>
      </c>
      <c r="P575" s="11">
        <f t="shared" si="48"/>
        <v>9</v>
      </c>
      <c r="Q575" s="11" t="str">
        <f t="shared" ca="1" si="49"/>
        <v>-</v>
      </c>
      <c r="R575" s="11">
        <f>IFERROR(VLOOKUP(G575,Paramètres!$B$6:$F$8,3,FALSE()),"")</f>
        <v>2</v>
      </c>
      <c r="S575" s="11" t="str">
        <f t="shared" ca="1" si="50"/>
        <v>-</v>
      </c>
      <c r="T575" s="12">
        <v>46265</v>
      </c>
      <c r="U575" s="11">
        <f t="shared" si="51"/>
        <v>3</v>
      </c>
      <c r="V575" s="11">
        <f t="shared" si="52"/>
        <v>5</v>
      </c>
      <c r="W575" s="11" t="str">
        <f t="shared" si="53"/>
        <v>Hors délais</v>
      </c>
    </row>
    <row r="576" spans="1:23">
      <c r="A576" s="11">
        <v>560</v>
      </c>
      <c r="B576" s="12">
        <v>46254</v>
      </c>
      <c r="C576" s="13" t="s">
        <v>1504</v>
      </c>
      <c r="D576" s="13" t="s">
        <v>230</v>
      </c>
      <c r="E576" s="13" t="s">
        <v>1505</v>
      </c>
      <c r="F576" s="13" t="s">
        <v>1506</v>
      </c>
      <c r="G576" s="11" t="s">
        <v>39</v>
      </c>
      <c r="H576" s="11">
        <f>IFERROR(VLOOKUP(G576,Paramètres!$B$6:$F$8,2,FALSE()),"")</f>
        <v>5</v>
      </c>
      <c r="I576" s="13" t="s">
        <v>98</v>
      </c>
      <c r="J576" s="11" t="s">
        <v>41</v>
      </c>
      <c r="K576" s="12">
        <v>46254</v>
      </c>
      <c r="L576" s="12">
        <v>46255</v>
      </c>
      <c r="M576" s="13"/>
      <c r="N576" s="14" t="s">
        <v>76</v>
      </c>
      <c r="O576" s="12"/>
      <c r="P576" s="11" t="str">
        <f t="shared" si="48"/>
        <v/>
      </c>
      <c r="Q576" s="11" t="str">
        <f t="shared" ca="1" si="49"/>
        <v>ROUGE</v>
      </c>
      <c r="R576" s="11">
        <f>IFERROR(VLOOKUP(G576,Paramètres!$B$6:$F$8,3,FALSE()),"")</f>
        <v>2</v>
      </c>
      <c r="S576" s="11" t="str">
        <f t="shared" ca="1" si="50"/>
        <v/>
      </c>
      <c r="T576" s="12"/>
      <c r="U576" s="11" t="str">
        <f t="shared" si="51"/>
        <v/>
      </c>
      <c r="V576" s="11" t="str">
        <f t="shared" si="52"/>
        <v/>
      </c>
      <c r="W576" s="11" t="str">
        <f t="shared" si="53"/>
        <v/>
      </c>
    </row>
    <row r="577" spans="1:23" ht="28.5">
      <c r="A577" s="11">
        <v>561</v>
      </c>
      <c r="B577" s="12">
        <v>46254</v>
      </c>
      <c r="C577" s="13" t="s">
        <v>1507</v>
      </c>
      <c r="D577" s="13" t="s">
        <v>104</v>
      </c>
      <c r="E577" s="13"/>
      <c r="F577" s="13" t="s">
        <v>1508</v>
      </c>
      <c r="G577" s="11" t="s">
        <v>39</v>
      </c>
      <c r="H577" s="11">
        <f>IFERROR(VLOOKUP(G577,Paramètres!$B$6:$F$8,2,FALSE()),"")</f>
        <v>5</v>
      </c>
      <c r="I577" s="13" t="s">
        <v>91</v>
      </c>
      <c r="J577" s="11" t="s">
        <v>41</v>
      </c>
      <c r="K577" s="12">
        <v>46254</v>
      </c>
      <c r="L577" s="12">
        <v>46254</v>
      </c>
      <c r="M577" s="13" t="s">
        <v>75</v>
      </c>
      <c r="N577" s="14" t="s">
        <v>76</v>
      </c>
      <c r="O577" s="12">
        <v>46260</v>
      </c>
      <c r="P577" s="11">
        <f t="shared" si="48"/>
        <v>6</v>
      </c>
      <c r="Q577" s="11" t="str">
        <f t="shared" ca="1" si="49"/>
        <v>-</v>
      </c>
      <c r="R577" s="11">
        <f>IFERROR(VLOOKUP(G577,Paramètres!$B$6:$F$8,3,FALSE()),"")</f>
        <v>2</v>
      </c>
      <c r="S577" s="11" t="str">
        <f t="shared" ca="1" si="50"/>
        <v>-</v>
      </c>
      <c r="T577" s="12">
        <v>46262</v>
      </c>
      <c r="U577" s="11">
        <f t="shared" si="51"/>
        <v>2</v>
      </c>
      <c r="V577" s="11">
        <f t="shared" si="52"/>
        <v>1</v>
      </c>
      <c r="W577" s="11" t="str">
        <f t="shared" si="53"/>
        <v>Hors délais</v>
      </c>
    </row>
    <row r="578" spans="1:23">
      <c r="A578" s="11">
        <v>562</v>
      </c>
      <c r="B578" s="12">
        <v>46254</v>
      </c>
      <c r="C578" s="13" t="s">
        <v>1509</v>
      </c>
      <c r="D578" s="13" t="s">
        <v>63</v>
      </c>
      <c r="E578" s="13"/>
      <c r="F578" s="13" t="s">
        <v>1510</v>
      </c>
      <c r="G578" s="11" t="s">
        <v>39</v>
      </c>
      <c r="H578" s="11">
        <f>IFERROR(VLOOKUP(G578,Paramètres!$B$6:$F$8,2,FALSE()),"")</f>
        <v>5</v>
      </c>
      <c r="I578" s="13" t="s">
        <v>40</v>
      </c>
      <c r="J578" s="11" t="s">
        <v>41</v>
      </c>
      <c r="K578" s="12">
        <v>46254</v>
      </c>
      <c r="L578" s="12">
        <v>46254</v>
      </c>
      <c r="M578" s="13" t="s">
        <v>49</v>
      </c>
      <c r="N578" s="14" t="s">
        <v>43</v>
      </c>
      <c r="O578" s="12">
        <v>46265</v>
      </c>
      <c r="P578" s="11">
        <f t="shared" si="48"/>
        <v>11</v>
      </c>
      <c r="Q578" s="11" t="str">
        <f t="shared" ca="1" si="49"/>
        <v>-</v>
      </c>
      <c r="R578" s="11">
        <f>IFERROR(VLOOKUP(G578,Paramètres!$B$6:$F$8,3,FALSE()),"")</f>
        <v>2</v>
      </c>
      <c r="S578" s="11" t="str">
        <f t="shared" ca="1" si="50"/>
        <v>-</v>
      </c>
      <c r="T578" s="12">
        <v>46272</v>
      </c>
      <c r="U578" s="11">
        <f t="shared" si="51"/>
        <v>7</v>
      </c>
      <c r="V578" s="11">
        <f t="shared" si="52"/>
        <v>11</v>
      </c>
      <c r="W578" s="11" t="str">
        <f t="shared" si="53"/>
        <v>Hors délais</v>
      </c>
    </row>
    <row r="579" spans="1:23">
      <c r="A579" s="11">
        <v>563</v>
      </c>
      <c r="B579" s="12">
        <v>46254</v>
      </c>
      <c r="C579" s="13" t="s">
        <v>1511</v>
      </c>
      <c r="D579" s="13" t="s">
        <v>100</v>
      </c>
      <c r="E579" s="13"/>
      <c r="F579" s="13" t="s">
        <v>1512</v>
      </c>
      <c r="G579" s="11" t="s">
        <v>53</v>
      </c>
      <c r="H579" s="11" t="str">
        <f>IFERROR(VLOOKUP(G579,Paramètres!$B$6:$F$8,2,FALSE()),"")</f>
        <v>N/A</v>
      </c>
      <c r="I579" s="13" t="s">
        <v>232</v>
      </c>
      <c r="J579" s="11" t="s">
        <v>55</v>
      </c>
      <c r="K579" s="12">
        <v>46254</v>
      </c>
      <c r="L579" s="12">
        <v>46254</v>
      </c>
      <c r="M579" s="13" t="s">
        <v>86</v>
      </c>
      <c r="N579" s="14" t="s">
        <v>102</v>
      </c>
      <c r="O579" s="12"/>
      <c r="P579" s="11" t="str">
        <f t="shared" si="48"/>
        <v>-</v>
      </c>
      <c r="Q579" s="11" t="str">
        <f t="shared" ca="1" si="49"/>
        <v>-</v>
      </c>
      <c r="R579" s="11" t="str">
        <f>IFERROR(VLOOKUP(G579,Paramètres!$B$6:$F$8,3,FALSE()),"")</f>
        <v>N/A</v>
      </c>
      <c r="S579" s="11" t="str">
        <f t="shared" ca="1" si="50"/>
        <v>-</v>
      </c>
      <c r="T579" s="12"/>
      <c r="U579" s="11" t="str">
        <f t="shared" si="51"/>
        <v>-</v>
      </c>
      <c r="V579" s="11" t="str">
        <f t="shared" si="52"/>
        <v>-</v>
      </c>
      <c r="W579" s="11" t="str">
        <f t="shared" si="53"/>
        <v>Ne nécessite pas de réponse</v>
      </c>
    </row>
    <row r="580" spans="1:23">
      <c r="A580" s="11">
        <v>564</v>
      </c>
      <c r="B580" s="12">
        <v>46254</v>
      </c>
      <c r="C580" s="13" t="s">
        <v>1513</v>
      </c>
      <c r="D580" s="13" t="s">
        <v>104</v>
      </c>
      <c r="E580" s="13"/>
      <c r="F580" s="13" t="s">
        <v>1514</v>
      </c>
      <c r="G580" s="11" t="s">
        <v>53</v>
      </c>
      <c r="H580" s="11" t="str">
        <f>IFERROR(VLOOKUP(G580,Paramètres!$B$6:$F$8,2,FALSE()),"")</f>
        <v>N/A</v>
      </c>
      <c r="I580" s="13" t="s">
        <v>74</v>
      </c>
      <c r="J580" s="11" t="s">
        <v>41</v>
      </c>
      <c r="K580" s="12">
        <v>46254</v>
      </c>
      <c r="L580" s="12">
        <v>46254</v>
      </c>
      <c r="M580" s="13" t="s">
        <v>49</v>
      </c>
      <c r="N580" s="14" t="s">
        <v>76</v>
      </c>
      <c r="O580" s="12"/>
      <c r="P580" s="11" t="str">
        <f t="shared" si="48"/>
        <v>-</v>
      </c>
      <c r="Q580" s="11" t="str">
        <f t="shared" ca="1" si="49"/>
        <v>-</v>
      </c>
      <c r="R580" s="11" t="str">
        <f>IFERROR(VLOOKUP(G580,Paramètres!$B$6:$F$8,3,FALSE()),"")</f>
        <v>N/A</v>
      </c>
      <c r="S580" s="11" t="str">
        <f t="shared" ca="1" si="50"/>
        <v>-</v>
      </c>
      <c r="T580" s="12"/>
      <c r="U580" s="11" t="str">
        <f t="shared" si="51"/>
        <v>-</v>
      </c>
      <c r="V580" s="11" t="str">
        <f t="shared" si="52"/>
        <v>-</v>
      </c>
      <c r="W580" s="11" t="str">
        <f t="shared" si="53"/>
        <v>Ne nécessite pas de réponse</v>
      </c>
    </row>
    <row r="581" spans="1:23">
      <c r="A581" s="11">
        <v>565</v>
      </c>
      <c r="B581" s="12">
        <v>46255</v>
      </c>
      <c r="C581" s="13" t="s">
        <v>1515</v>
      </c>
      <c r="D581" s="13" t="s">
        <v>68</v>
      </c>
      <c r="E581" s="13" t="s">
        <v>1516</v>
      </c>
      <c r="F581" s="13" t="s">
        <v>1517</v>
      </c>
      <c r="G581" s="11" t="s">
        <v>39</v>
      </c>
      <c r="H581" s="11">
        <f>IFERROR(VLOOKUP(G581,Paramètres!$B$6:$F$8,2,FALSE()),"")</f>
        <v>5</v>
      </c>
      <c r="I581" s="13" t="s">
        <v>108</v>
      </c>
      <c r="J581" s="11" t="s">
        <v>55</v>
      </c>
      <c r="K581" s="12">
        <v>46258</v>
      </c>
      <c r="L581" s="12">
        <v>46258</v>
      </c>
      <c r="M581" s="13" t="s">
        <v>61</v>
      </c>
      <c r="N581" s="14" t="s">
        <v>66</v>
      </c>
      <c r="O581" s="12">
        <v>46260</v>
      </c>
      <c r="P581" s="11">
        <f t="shared" si="48"/>
        <v>5</v>
      </c>
      <c r="Q581" s="11" t="str">
        <f t="shared" ca="1" si="49"/>
        <v>-</v>
      </c>
      <c r="R581" s="11">
        <f>IFERROR(VLOOKUP(G581,Paramètres!$B$6:$F$8,3,FALSE()),"")</f>
        <v>2</v>
      </c>
      <c r="S581" s="11" t="str">
        <f t="shared" ca="1" si="50"/>
        <v>-</v>
      </c>
      <c r="T581" s="12">
        <v>46261</v>
      </c>
      <c r="U581" s="11">
        <f t="shared" si="51"/>
        <v>1</v>
      </c>
      <c r="V581" s="11">
        <f t="shared" si="52"/>
        <v>-1</v>
      </c>
      <c r="W581" s="11" t="str">
        <f t="shared" si="53"/>
        <v>Dans les délais</v>
      </c>
    </row>
    <row r="582" spans="1:23" ht="28.5">
      <c r="A582" s="11">
        <v>566</v>
      </c>
      <c r="B582" s="12">
        <v>46255</v>
      </c>
      <c r="C582" s="13" t="s">
        <v>1518</v>
      </c>
      <c r="D582" s="13" t="s">
        <v>89</v>
      </c>
      <c r="E582" s="13" t="s">
        <v>1519</v>
      </c>
      <c r="F582" s="13" t="s">
        <v>1520</v>
      </c>
      <c r="G582" s="11" t="s">
        <v>39</v>
      </c>
      <c r="H582" s="11">
        <f>IFERROR(VLOOKUP(G582,Paramètres!$B$6:$F$8,2,FALSE()),"")</f>
        <v>5</v>
      </c>
      <c r="I582" s="13" t="s">
        <v>120</v>
      </c>
      <c r="J582" s="11" t="s">
        <v>48</v>
      </c>
      <c r="K582" s="12">
        <v>46258</v>
      </c>
      <c r="L582" s="12">
        <v>46258</v>
      </c>
      <c r="M582" s="13" t="s">
        <v>75</v>
      </c>
      <c r="N582" s="14" t="s">
        <v>186</v>
      </c>
      <c r="O582" s="12">
        <v>46259</v>
      </c>
      <c r="P582" s="11">
        <f t="shared" si="48"/>
        <v>4</v>
      </c>
      <c r="Q582" s="11" t="str">
        <f t="shared" ca="1" si="49"/>
        <v>-</v>
      </c>
      <c r="R582" s="11">
        <f>IFERROR(VLOOKUP(G582,Paramètres!$B$6:$F$8,3,FALSE()),"")</f>
        <v>2</v>
      </c>
      <c r="S582" s="11" t="str">
        <f t="shared" ca="1" si="50"/>
        <v>-</v>
      </c>
      <c r="T582" s="12">
        <v>46262</v>
      </c>
      <c r="U582" s="11">
        <f t="shared" si="51"/>
        <v>3</v>
      </c>
      <c r="V582" s="11">
        <f t="shared" si="52"/>
        <v>0</v>
      </c>
      <c r="W582" s="11" t="str">
        <f t="shared" si="53"/>
        <v>Dans les délais</v>
      </c>
    </row>
    <row r="583" spans="1:23">
      <c r="A583" s="11">
        <v>567</v>
      </c>
      <c r="B583" s="12">
        <v>46258</v>
      </c>
      <c r="C583" s="13" t="s">
        <v>1521</v>
      </c>
      <c r="D583" s="13" t="s">
        <v>63</v>
      </c>
      <c r="E583" s="13"/>
      <c r="F583" s="13" t="s">
        <v>1522</v>
      </c>
      <c r="G583" s="11" t="s">
        <v>39</v>
      </c>
      <c r="H583" s="11">
        <f>IFERROR(VLOOKUP(G583,Paramètres!$B$6:$F$8,2,FALSE()),"")</f>
        <v>5</v>
      </c>
      <c r="I583" s="13" t="s">
        <v>98</v>
      </c>
      <c r="J583" s="11" t="s">
        <v>41</v>
      </c>
      <c r="K583" s="12">
        <v>46259</v>
      </c>
      <c r="L583" s="12">
        <v>46259</v>
      </c>
      <c r="M583" s="13" t="s">
        <v>61</v>
      </c>
      <c r="N583" s="14" t="s">
        <v>43</v>
      </c>
      <c r="O583" s="12">
        <v>46262</v>
      </c>
      <c r="P583" s="11">
        <f t="shared" si="48"/>
        <v>4</v>
      </c>
      <c r="Q583" s="11" t="str">
        <f t="shared" ca="1" si="49"/>
        <v>-</v>
      </c>
      <c r="R583" s="11">
        <f>IFERROR(VLOOKUP(G583,Paramètres!$B$6:$F$8,3,FALSE()),"")</f>
        <v>2</v>
      </c>
      <c r="S583" s="11" t="str">
        <f t="shared" ca="1" si="50"/>
        <v>-</v>
      </c>
      <c r="T583" s="12">
        <v>46267</v>
      </c>
      <c r="U583" s="11">
        <f t="shared" si="51"/>
        <v>5</v>
      </c>
      <c r="V583" s="11">
        <f t="shared" si="52"/>
        <v>2</v>
      </c>
      <c r="W583" s="11" t="str">
        <f t="shared" si="53"/>
        <v>Hors délais</v>
      </c>
    </row>
    <row r="584" spans="1:23" ht="28.5">
      <c r="A584" s="11">
        <v>568</v>
      </c>
      <c r="B584" s="12">
        <v>46258</v>
      </c>
      <c r="C584" s="13" t="s">
        <v>1523</v>
      </c>
      <c r="D584" s="13" t="s">
        <v>118</v>
      </c>
      <c r="E584" s="13"/>
      <c r="F584" s="13" t="s">
        <v>1524</v>
      </c>
      <c r="G584" s="11" t="s">
        <v>53</v>
      </c>
      <c r="H584" s="11" t="str">
        <f>IFERROR(VLOOKUP(G584,Paramètres!$B$6:$F$8,2,FALSE()),"")</f>
        <v>N/A</v>
      </c>
      <c r="I584" s="13" t="s">
        <v>94</v>
      </c>
      <c r="J584" s="11" t="s">
        <v>55</v>
      </c>
      <c r="K584" s="12">
        <v>46259</v>
      </c>
      <c r="L584" s="12">
        <v>46260</v>
      </c>
      <c r="M584" s="13" t="s">
        <v>75</v>
      </c>
      <c r="N584" s="14" t="s">
        <v>57</v>
      </c>
      <c r="O584" s="12"/>
      <c r="P584" s="11" t="str">
        <f t="shared" si="48"/>
        <v>-</v>
      </c>
      <c r="Q584" s="11" t="str">
        <f t="shared" ca="1" si="49"/>
        <v>-</v>
      </c>
      <c r="R584" s="11" t="str">
        <f>IFERROR(VLOOKUP(G584,Paramètres!$B$6:$F$8,3,FALSE()),"")</f>
        <v>N/A</v>
      </c>
      <c r="S584" s="11" t="str">
        <f t="shared" ca="1" si="50"/>
        <v>-</v>
      </c>
      <c r="T584" s="12"/>
      <c r="U584" s="11" t="str">
        <f t="shared" si="51"/>
        <v>-</v>
      </c>
      <c r="V584" s="11" t="str">
        <f t="shared" si="52"/>
        <v>-</v>
      </c>
      <c r="W584" s="11" t="str">
        <f t="shared" si="53"/>
        <v>Ne nécessite pas de réponse</v>
      </c>
    </row>
    <row r="585" spans="1:23">
      <c r="A585" s="11">
        <v>569</v>
      </c>
      <c r="B585" s="12">
        <v>46258</v>
      </c>
      <c r="C585" s="13" t="s">
        <v>1525</v>
      </c>
      <c r="D585" s="13" t="s">
        <v>115</v>
      </c>
      <c r="E585" s="13" t="s">
        <v>1526</v>
      </c>
      <c r="F585" s="13" t="s">
        <v>1527</v>
      </c>
      <c r="G585" s="11" t="s">
        <v>39</v>
      </c>
      <c r="H585" s="11">
        <f>IFERROR(VLOOKUP(G585,Paramètres!$B$6:$F$8,2,FALSE()),"")</f>
        <v>5</v>
      </c>
      <c r="I585" s="13" t="s">
        <v>426</v>
      </c>
      <c r="J585" s="11" t="s">
        <v>41</v>
      </c>
      <c r="K585" s="12">
        <v>46259</v>
      </c>
      <c r="L585" s="12">
        <v>46259</v>
      </c>
      <c r="M585" s="13" t="s">
        <v>42</v>
      </c>
      <c r="N585" s="14" t="s">
        <v>43</v>
      </c>
      <c r="O585" s="12">
        <v>46261</v>
      </c>
      <c r="P585" s="11">
        <f t="shared" si="48"/>
        <v>3</v>
      </c>
      <c r="Q585" s="11" t="str">
        <f t="shared" ca="1" si="49"/>
        <v>-</v>
      </c>
      <c r="R585" s="11">
        <f>IFERROR(VLOOKUP(G585,Paramètres!$B$6:$F$8,3,FALSE()),"")</f>
        <v>2</v>
      </c>
      <c r="S585" s="11" t="str">
        <f t="shared" ca="1" si="50"/>
        <v>-</v>
      </c>
      <c r="T585" s="12">
        <v>46262</v>
      </c>
      <c r="U585" s="11">
        <f t="shared" si="51"/>
        <v>1</v>
      </c>
      <c r="V585" s="11">
        <f t="shared" si="52"/>
        <v>-3</v>
      </c>
      <c r="W585" s="11" t="str">
        <f t="shared" si="53"/>
        <v>Dans les délais</v>
      </c>
    </row>
    <row r="586" spans="1:23">
      <c r="A586" s="11">
        <v>570</v>
      </c>
      <c r="B586" s="12">
        <v>46258</v>
      </c>
      <c r="C586" s="13" t="s">
        <v>1528</v>
      </c>
      <c r="D586" s="13" t="s">
        <v>63</v>
      </c>
      <c r="E586" s="13"/>
      <c r="F586" s="13" t="s">
        <v>1529</v>
      </c>
      <c r="G586" s="11" t="s">
        <v>53</v>
      </c>
      <c r="H586" s="11" t="str">
        <f>IFERROR(VLOOKUP(G586,Paramètres!$B$6:$F$8,2,FALSE()),"")</f>
        <v>N/A</v>
      </c>
      <c r="I586" s="13" t="s">
        <v>98</v>
      </c>
      <c r="J586" s="11" t="s">
        <v>41</v>
      </c>
      <c r="K586" s="12">
        <v>46259</v>
      </c>
      <c r="L586" s="12">
        <v>46260</v>
      </c>
      <c r="M586" s="13"/>
      <c r="N586" s="14" t="s">
        <v>43</v>
      </c>
      <c r="O586" s="12"/>
      <c r="P586" s="11" t="str">
        <f t="shared" si="48"/>
        <v>-</v>
      </c>
      <c r="Q586" s="11" t="str">
        <f t="shared" ca="1" si="49"/>
        <v>-</v>
      </c>
      <c r="R586" s="11" t="str">
        <f>IFERROR(VLOOKUP(G586,Paramètres!$B$6:$F$8,3,FALSE()),"")</f>
        <v>N/A</v>
      </c>
      <c r="S586" s="11" t="str">
        <f t="shared" ca="1" si="50"/>
        <v>-</v>
      </c>
      <c r="T586" s="12"/>
      <c r="U586" s="11" t="str">
        <f t="shared" si="51"/>
        <v>-</v>
      </c>
      <c r="V586" s="11" t="str">
        <f t="shared" si="52"/>
        <v>-</v>
      </c>
      <c r="W586" s="11" t="str">
        <f t="shared" si="53"/>
        <v>Ne nécessite pas de réponse</v>
      </c>
    </row>
    <row r="587" spans="1:23">
      <c r="A587" s="11">
        <v>571</v>
      </c>
      <c r="B587" s="12">
        <v>46258</v>
      </c>
      <c r="C587" s="13" t="s">
        <v>1530</v>
      </c>
      <c r="D587" s="13" t="s">
        <v>68</v>
      </c>
      <c r="E587" s="13"/>
      <c r="F587" s="13" t="s">
        <v>1531</v>
      </c>
      <c r="G587" s="11" t="s">
        <v>39</v>
      </c>
      <c r="H587" s="11">
        <f>IFERROR(VLOOKUP(G587,Paramètres!$B$6:$F$8,2,FALSE()),"")</f>
        <v>5</v>
      </c>
      <c r="I587" s="13" t="s">
        <v>54</v>
      </c>
      <c r="J587" s="11" t="s">
        <v>55</v>
      </c>
      <c r="K587" s="12">
        <v>46258</v>
      </c>
      <c r="L587" s="12">
        <v>46259</v>
      </c>
      <c r="M587" s="13" t="s">
        <v>56</v>
      </c>
      <c r="N587" s="14" t="s">
        <v>57</v>
      </c>
      <c r="O587" s="12">
        <v>46261</v>
      </c>
      <c r="P587" s="11">
        <f t="shared" si="48"/>
        <v>3</v>
      </c>
      <c r="Q587" s="11" t="str">
        <f t="shared" ca="1" si="49"/>
        <v>-</v>
      </c>
      <c r="R587" s="11">
        <f>IFERROR(VLOOKUP(G587,Paramètres!$B$6:$F$8,3,FALSE()),"")</f>
        <v>2</v>
      </c>
      <c r="S587" s="11" t="str">
        <f t="shared" ca="1" si="50"/>
        <v>-</v>
      </c>
      <c r="T587" s="12">
        <v>46262</v>
      </c>
      <c r="U587" s="11">
        <f t="shared" si="51"/>
        <v>1</v>
      </c>
      <c r="V587" s="11">
        <f t="shared" si="52"/>
        <v>-3</v>
      </c>
      <c r="W587" s="11" t="str">
        <f t="shared" si="53"/>
        <v>Dans les délais</v>
      </c>
    </row>
    <row r="588" spans="1:23" ht="28.5">
      <c r="A588" s="11">
        <v>572</v>
      </c>
      <c r="B588" s="12">
        <v>46258</v>
      </c>
      <c r="C588" s="13" t="s">
        <v>1532</v>
      </c>
      <c r="D588" s="13" t="s">
        <v>345</v>
      </c>
      <c r="E588" s="13"/>
      <c r="F588" s="13" t="s">
        <v>1533</v>
      </c>
      <c r="G588" s="11" t="s">
        <v>39</v>
      </c>
      <c r="H588" s="11">
        <f>IFERROR(VLOOKUP(G588,Paramètres!$B$6:$F$8,2,FALSE()),"")</f>
        <v>5</v>
      </c>
      <c r="I588" s="13" t="s">
        <v>54</v>
      </c>
      <c r="J588" s="11" t="s">
        <v>55</v>
      </c>
      <c r="K588" s="12">
        <v>46258</v>
      </c>
      <c r="L588" s="12">
        <v>46258</v>
      </c>
      <c r="M588" s="13" t="s">
        <v>75</v>
      </c>
      <c r="N588" s="14" t="s">
        <v>66</v>
      </c>
      <c r="O588" s="12">
        <v>46261</v>
      </c>
      <c r="P588" s="11">
        <f t="shared" si="48"/>
        <v>3</v>
      </c>
      <c r="Q588" s="11" t="str">
        <f t="shared" ca="1" si="49"/>
        <v>-</v>
      </c>
      <c r="R588" s="11">
        <f>IFERROR(VLOOKUP(G588,Paramètres!$B$6:$F$8,3,FALSE()),"")</f>
        <v>2</v>
      </c>
      <c r="S588" s="11" t="str">
        <f t="shared" ca="1" si="50"/>
        <v>-</v>
      </c>
      <c r="T588" s="12">
        <v>46265</v>
      </c>
      <c r="U588" s="11">
        <f t="shared" si="51"/>
        <v>4</v>
      </c>
      <c r="V588" s="11">
        <f t="shared" si="52"/>
        <v>0</v>
      </c>
      <c r="W588" s="11" t="str">
        <f t="shared" si="53"/>
        <v>Dans les délais</v>
      </c>
    </row>
    <row r="589" spans="1:23">
      <c r="A589" s="11">
        <v>573</v>
      </c>
      <c r="B589" s="12">
        <v>46259</v>
      </c>
      <c r="C589" s="13" t="s">
        <v>1534</v>
      </c>
      <c r="D589" s="13" t="s">
        <v>100</v>
      </c>
      <c r="E589" s="13" t="s">
        <v>1535</v>
      </c>
      <c r="F589" s="13" t="s">
        <v>1536</v>
      </c>
      <c r="G589" s="11" t="s">
        <v>84</v>
      </c>
      <c r="H589" s="11">
        <f>IFERROR(VLOOKUP(G589,Paramètres!$B$6:$F$8,2,FALSE()),"")</f>
        <v>5</v>
      </c>
      <c r="I589" s="13" t="s">
        <v>65</v>
      </c>
      <c r="J589" s="11" t="s">
        <v>55</v>
      </c>
      <c r="K589" s="12">
        <v>46259</v>
      </c>
      <c r="L589" s="12">
        <v>46259</v>
      </c>
      <c r="M589" s="13" t="s">
        <v>86</v>
      </c>
      <c r="N589" s="14" t="s">
        <v>57</v>
      </c>
      <c r="O589" s="12">
        <v>46268</v>
      </c>
      <c r="P589" s="11">
        <f t="shared" si="48"/>
        <v>9</v>
      </c>
      <c r="Q589" s="11" t="str">
        <f t="shared" ca="1" si="49"/>
        <v>-</v>
      </c>
      <c r="R589" s="11">
        <f>IFERROR(VLOOKUP(G589,Paramètres!$B$6:$F$8,3,FALSE()),"")</f>
        <v>2</v>
      </c>
      <c r="S589" s="11" t="str">
        <f t="shared" ca="1" si="50"/>
        <v>-</v>
      </c>
      <c r="T589" s="12">
        <v>46269</v>
      </c>
      <c r="U589" s="11">
        <f t="shared" si="51"/>
        <v>1</v>
      </c>
      <c r="V589" s="11">
        <f t="shared" si="52"/>
        <v>3</v>
      </c>
      <c r="W589" s="11" t="str">
        <f t="shared" si="53"/>
        <v>Hors délais</v>
      </c>
    </row>
    <row r="590" spans="1:23" ht="28.5">
      <c r="A590" s="11">
        <v>574</v>
      </c>
      <c r="B590" s="12">
        <v>46259</v>
      </c>
      <c r="C590" s="13" t="s">
        <v>1537</v>
      </c>
      <c r="D590" s="13" t="s">
        <v>100</v>
      </c>
      <c r="E590" s="13" t="s">
        <v>1538</v>
      </c>
      <c r="F590" s="13" t="s">
        <v>1539</v>
      </c>
      <c r="G590" s="11" t="s">
        <v>84</v>
      </c>
      <c r="H590" s="11">
        <f>IFERROR(VLOOKUP(G590,Paramètres!$B$6:$F$8,2,FALSE()),"")</f>
        <v>5</v>
      </c>
      <c r="I590" s="13" t="s">
        <v>40</v>
      </c>
      <c r="J590" s="11" t="s">
        <v>41</v>
      </c>
      <c r="K590" s="12">
        <v>46260</v>
      </c>
      <c r="L590" s="12">
        <v>46261</v>
      </c>
      <c r="M590" s="13" t="s">
        <v>75</v>
      </c>
      <c r="N590" s="14" t="s">
        <v>87</v>
      </c>
      <c r="O590" s="12"/>
      <c r="P590" s="11" t="str">
        <f t="shared" si="48"/>
        <v/>
      </c>
      <c r="Q590" s="11" t="str">
        <f t="shared" ca="1" si="49"/>
        <v>ROUGE</v>
      </c>
      <c r="R590" s="11">
        <f>IFERROR(VLOOKUP(G590,Paramètres!$B$6:$F$8,3,FALSE()),"")</f>
        <v>2</v>
      </c>
      <c r="S590" s="11" t="str">
        <f t="shared" ca="1" si="50"/>
        <v/>
      </c>
      <c r="T590" s="12"/>
      <c r="U590" s="11" t="str">
        <f t="shared" si="51"/>
        <v/>
      </c>
      <c r="V590" s="11" t="str">
        <f t="shared" si="52"/>
        <v/>
      </c>
      <c r="W590" s="11" t="str">
        <f t="shared" si="53"/>
        <v/>
      </c>
    </row>
    <row r="591" spans="1:23">
      <c r="A591" s="11">
        <v>575</v>
      </c>
      <c r="B591" s="12">
        <v>46259</v>
      </c>
      <c r="C591" s="13" t="s">
        <v>1540</v>
      </c>
      <c r="D591" s="13" t="s">
        <v>115</v>
      </c>
      <c r="E591" s="13"/>
      <c r="F591" s="13" t="s">
        <v>1541</v>
      </c>
      <c r="G591" s="11" t="s">
        <v>39</v>
      </c>
      <c r="H591" s="11">
        <f>IFERROR(VLOOKUP(G591,Paramètres!$B$6:$F$8,2,FALSE()),"")</f>
        <v>5</v>
      </c>
      <c r="I591" s="13" t="s">
        <v>108</v>
      </c>
      <c r="J591" s="11" t="s">
        <v>55</v>
      </c>
      <c r="K591" s="12">
        <v>46259</v>
      </c>
      <c r="L591" s="12">
        <v>46260</v>
      </c>
      <c r="M591" s="13" t="s">
        <v>86</v>
      </c>
      <c r="N591" s="14" t="s">
        <v>57</v>
      </c>
      <c r="O591" s="12">
        <v>46275</v>
      </c>
      <c r="P591" s="11">
        <f t="shared" si="48"/>
        <v>16</v>
      </c>
      <c r="Q591" s="11" t="str">
        <f t="shared" ca="1" si="49"/>
        <v>-</v>
      </c>
      <c r="R591" s="11">
        <f>IFERROR(VLOOKUP(G591,Paramètres!$B$6:$F$8,3,FALSE()),"")</f>
        <v>2</v>
      </c>
      <c r="S591" s="11" t="str">
        <f t="shared" ca="1" si="50"/>
        <v>-</v>
      </c>
      <c r="T591" s="12">
        <v>46279</v>
      </c>
      <c r="U591" s="11">
        <f t="shared" si="51"/>
        <v>4</v>
      </c>
      <c r="V591" s="11">
        <f t="shared" si="52"/>
        <v>13</v>
      </c>
      <c r="W591" s="11" t="str">
        <f t="shared" si="53"/>
        <v>Hors délais</v>
      </c>
    </row>
    <row r="592" spans="1:23">
      <c r="A592" s="11">
        <v>576</v>
      </c>
      <c r="B592" s="12">
        <v>46259</v>
      </c>
      <c r="C592" s="13" t="s">
        <v>1542</v>
      </c>
      <c r="D592" s="13" t="s">
        <v>37</v>
      </c>
      <c r="E592" s="13"/>
      <c r="F592" s="13" t="s">
        <v>1543</v>
      </c>
      <c r="G592" s="11" t="s">
        <v>39</v>
      </c>
      <c r="H592" s="11">
        <f>IFERROR(VLOOKUP(G592,Paramètres!$B$6:$F$8,2,FALSE()),"")</f>
        <v>5</v>
      </c>
      <c r="I592" s="13" t="s">
        <v>108</v>
      </c>
      <c r="J592" s="11" t="s">
        <v>55</v>
      </c>
      <c r="K592" s="12">
        <v>46259</v>
      </c>
      <c r="L592" s="12">
        <v>46259</v>
      </c>
      <c r="M592" s="13" t="s">
        <v>61</v>
      </c>
      <c r="N592" s="14" t="s">
        <v>57</v>
      </c>
      <c r="O592" s="12">
        <v>46265</v>
      </c>
      <c r="P592" s="11">
        <f t="shared" si="48"/>
        <v>6</v>
      </c>
      <c r="Q592" s="11" t="str">
        <f t="shared" ca="1" si="49"/>
        <v>-</v>
      </c>
      <c r="R592" s="11">
        <f>IFERROR(VLOOKUP(G592,Paramètres!$B$6:$F$8,3,FALSE()),"")</f>
        <v>2</v>
      </c>
      <c r="S592" s="11" t="str">
        <f t="shared" ca="1" si="50"/>
        <v>-</v>
      </c>
      <c r="T592" s="12">
        <v>46267</v>
      </c>
      <c r="U592" s="11">
        <f t="shared" si="51"/>
        <v>2</v>
      </c>
      <c r="V592" s="11">
        <f t="shared" si="52"/>
        <v>1</v>
      </c>
      <c r="W592" s="11" t="str">
        <f t="shared" si="53"/>
        <v>Hors délais</v>
      </c>
    </row>
    <row r="593" spans="1:23">
      <c r="A593" s="11">
        <v>577</v>
      </c>
      <c r="B593" s="12">
        <v>46260</v>
      </c>
      <c r="C593" s="13" t="s">
        <v>1544</v>
      </c>
      <c r="D593" s="13" t="s">
        <v>59</v>
      </c>
      <c r="E593" s="13" t="s">
        <v>1545</v>
      </c>
      <c r="F593" s="13" t="s">
        <v>1546</v>
      </c>
      <c r="G593" s="11" t="s">
        <v>53</v>
      </c>
      <c r="H593" s="11" t="str">
        <f>IFERROR(VLOOKUP(G593,Paramètres!$B$6:$F$8,2,FALSE()),"")</f>
        <v>N/A</v>
      </c>
      <c r="I593" s="13" t="s">
        <v>74</v>
      </c>
      <c r="J593" s="11" t="s">
        <v>41</v>
      </c>
      <c r="K593" s="12">
        <v>46260</v>
      </c>
      <c r="L593" s="12">
        <v>46261</v>
      </c>
      <c r="M593" s="13"/>
      <c r="N593" s="14" t="s">
        <v>43</v>
      </c>
      <c r="O593" s="12"/>
      <c r="P593" s="11" t="str">
        <f t="shared" ref="P593:P656" si="54">IF(G593="Ne nécessite pas de réponse","-",IF(AND(ISNUMBER(B593),ISNUMBER(O593)),O593-B593,""))</f>
        <v>-</v>
      </c>
      <c r="Q593" s="11" t="str">
        <f t="shared" ref="Q593:Q656" ca="1" si="55">IF(G593="Ne nécessite pas de réponse","-",IF(O593&lt;&gt;"","-",IF(OR(B593="",H593="",NOT(ISNUMBER(H593)),H593=0),"",IF((TODAY()-B593)/H593&lt;=0.5,"VERT",IF((TODAY()-B593)/H593&lt;=0.8,"JAUNE","ROUGE")))))</f>
        <v>-</v>
      </c>
      <c r="R593" s="11" t="str">
        <f>IFERROR(VLOOKUP(G593,Paramètres!$B$6:$F$8,3,FALSE()),"")</f>
        <v>N/A</v>
      </c>
      <c r="S593" s="11" t="str">
        <f t="shared" ref="S593:S656" ca="1" si="56">IF(G593="Ne nécessite pas de réponse","-",IF(O593="","",IF(T593&lt;&gt;"","-",IF(OR(R593="",NOT(ISNUMBER(R593)),R593=0),"",IF((TODAY()-O593)/R593&lt;=0.5,"VERT",IF((TODAY()-O593)/R593&lt;=0.8,"JAUNE","ROUGE"))))))</f>
        <v>-</v>
      </c>
      <c r="T593" s="12"/>
      <c r="U593" s="11" t="str">
        <f t="shared" ref="U593:U656" si="57">IF(G593="Ne nécessite pas de réponse","-",IF(AND(ISNUMBER(O593),ISNUMBER(T593)),T593-O593,""))</f>
        <v>-</v>
      </c>
      <c r="V593" s="11" t="str">
        <f t="shared" ref="V593:V656" si="58">IF(G593="Ne nécessite pas de réponse","-",IF(AND(ISNUMBER(T593),ISNUMBER(B593),ISNUMBER(H593),ISNUMBER(R593)),T593-(B593+H593+R593),""))</f>
        <v>-</v>
      </c>
      <c r="W593" s="11" t="str">
        <f t="shared" ref="W593:W656" si="59">IF(G593="Ne nécessite pas de réponse","Ne nécessite pas de réponse",IF(T593="","",IF(V593&lt;=0,"Dans les délais","Hors délais")))</f>
        <v>Ne nécessite pas de réponse</v>
      </c>
    </row>
    <row r="594" spans="1:23">
      <c r="A594" s="11">
        <v>578</v>
      </c>
      <c r="B594" s="12">
        <v>46260</v>
      </c>
      <c r="C594" s="13" t="s">
        <v>1547</v>
      </c>
      <c r="D594" s="13" t="s">
        <v>37</v>
      </c>
      <c r="E594" s="13" t="s">
        <v>1548</v>
      </c>
      <c r="F594" s="13" t="s">
        <v>1549</v>
      </c>
      <c r="G594" s="11" t="s">
        <v>39</v>
      </c>
      <c r="H594" s="11">
        <f>IFERROR(VLOOKUP(G594,Paramètres!$B$6:$F$8,2,FALSE()),"")</f>
        <v>5</v>
      </c>
      <c r="I594" s="13" t="s">
        <v>40</v>
      </c>
      <c r="J594" s="11" t="s">
        <v>41</v>
      </c>
      <c r="K594" s="12">
        <v>46260</v>
      </c>
      <c r="L594" s="12">
        <v>46260</v>
      </c>
      <c r="M594" s="13"/>
      <c r="N594" s="14" t="s">
        <v>76</v>
      </c>
      <c r="O594" s="12">
        <v>46266</v>
      </c>
      <c r="P594" s="11">
        <f t="shared" si="54"/>
        <v>6</v>
      </c>
      <c r="Q594" s="11" t="str">
        <f t="shared" ca="1" si="55"/>
        <v>-</v>
      </c>
      <c r="R594" s="11">
        <f>IFERROR(VLOOKUP(G594,Paramètres!$B$6:$F$8,3,FALSE()),"")</f>
        <v>2</v>
      </c>
      <c r="S594" s="11" t="str">
        <f t="shared" ca="1" si="56"/>
        <v>-</v>
      </c>
      <c r="T594" s="12">
        <v>46269</v>
      </c>
      <c r="U594" s="11">
        <f t="shared" si="57"/>
        <v>3</v>
      </c>
      <c r="V594" s="11">
        <f t="shared" si="58"/>
        <v>2</v>
      </c>
      <c r="W594" s="11" t="str">
        <f t="shared" si="59"/>
        <v>Hors délais</v>
      </c>
    </row>
    <row r="595" spans="1:23">
      <c r="A595" s="11">
        <v>579</v>
      </c>
      <c r="B595" s="12">
        <v>46260</v>
      </c>
      <c r="C595" s="13" t="s">
        <v>1550</v>
      </c>
      <c r="D595" s="13" t="s">
        <v>96</v>
      </c>
      <c r="E595" s="13" t="s">
        <v>1551</v>
      </c>
      <c r="F595" s="13" t="s">
        <v>1552</v>
      </c>
      <c r="G595" s="11" t="s">
        <v>84</v>
      </c>
      <c r="H595" s="11">
        <f>IFERROR(VLOOKUP(G595,Paramètres!$B$6:$F$8,2,FALSE()),"")</f>
        <v>5</v>
      </c>
      <c r="I595" s="13" t="s">
        <v>71</v>
      </c>
      <c r="J595" s="11" t="s">
        <v>41</v>
      </c>
      <c r="K595" s="12">
        <v>46260</v>
      </c>
      <c r="L595" s="12">
        <v>46261</v>
      </c>
      <c r="M595" s="13"/>
      <c r="N595" s="14" t="s">
        <v>43</v>
      </c>
      <c r="O595" s="12">
        <v>46268</v>
      </c>
      <c r="P595" s="11">
        <f t="shared" si="54"/>
        <v>8</v>
      </c>
      <c r="Q595" s="11" t="str">
        <f t="shared" ca="1" si="55"/>
        <v>-</v>
      </c>
      <c r="R595" s="11">
        <f>IFERROR(VLOOKUP(G595,Paramètres!$B$6:$F$8,3,FALSE()),"")</f>
        <v>2</v>
      </c>
      <c r="S595" s="11" t="str">
        <f t="shared" ca="1" si="56"/>
        <v>-</v>
      </c>
      <c r="T595" s="12">
        <v>46269</v>
      </c>
      <c r="U595" s="11">
        <f t="shared" si="57"/>
        <v>1</v>
      </c>
      <c r="V595" s="11">
        <f t="shared" si="58"/>
        <v>2</v>
      </c>
      <c r="W595" s="11" t="str">
        <f t="shared" si="59"/>
        <v>Hors délais</v>
      </c>
    </row>
    <row r="596" spans="1:23">
      <c r="A596" s="11">
        <v>580</v>
      </c>
      <c r="B596" s="12">
        <v>46261</v>
      </c>
      <c r="C596" s="13" t="s">
        <v>1553</v>
      </c>
      <c r="D596" s="13" t="s">
        <v>115</v>
      </c>
      <c r="E596" s="13"/>
      <c r="F596" s="13" t="s">
        <v>1554</v>
      </c>
      <c r="G596" s="11" t="s">
        <v>53</v>
      </c>
      <c r="H596" s="11" t="str">
        <f>IFERROR(VLOOKUP(G596,Paramètres!$B$6:$F$8,2,FALSE()),"")</f>
        <v>N/A</v>
      </c>
      <c r="I596" s="13" t="s">
        <v>94</v>
      </c>
      <c r="J596" s="11" t="s">
        <v>55</v>
      </c>
      <c r="K596" s="12">
        <v>46261</v>
      </c>
      <c r="L596" s="12">
        <v>46261</v>
      </c>
      <c r="M596" s="13" t="s">
        <v>86</v>
      </c>
      <c r="N596" s="14" t="s">
        <v>66</v>
      </c>
      <c r="O596" s="12"/>
      <c r="P596" s="11" t="str">
        <f t="shared" si="54"/>
        <v>-</v>
      </c>
      <c r="Q596" s="11" t="str">
        <f t="shared" ca="1" si="55"/>
        <v>-</v>
      </c>
      <c r="R596" s="11" t="str">
        <f>IFERROR(VLOOKUP(G596,Paramètres!$B$6:$F$8,3,FALSE()),"")</f>
        <v>N/A</v>
      </c>
      <c r="S596" s="11" t="str">
        <f t="shared" ca="1" si="56"/>
        <v>-</v>
      </c>
      <c r="T596" s="12"/>
      <c r="U596" s="11" t="str">
        <f t="shared" si="57"/>
        <v>-</v>
      </c>
      <c r="V596" s="11" t="str">
        <f t="shared" si="58"/>
        <v>-</v>
      </c>
      <c r="W596" s="11" t="str">
        <f t="shared" si="59"/>
        <v>Ne nécessite pas de réponse</v>
      </c>
    </row>
    <row r="597" spans="1:23">
      <c r="A597" s="11">
        <v>581</v>
      </c>
      <c r="B597" s="12">
        <v>46261</v>
      </c>
      <c r="C597" s="13" t="s">
        <v>1555</v>
      </c>
      <c r="D597" s="13" t="s">
        <v>81</v>
      </c>
      <c r="E597" s="13"/>
      <c r="F597" s="13" t="s">
        <v>1556</v>
      </c>
      <c r="G597" s="11" t="s">
        <v>39</v>
      </c>
      <c r="H597" s="11">
        <f>IFERROR(VLOOKUP(G597,Paramètres!$B$6:$F$8,2,FALSE()),"")</f>
        <v>5</v>
      </c>
      <c r="I597" s="13" t="s">
        <v>232</v>
      </c>
      <c r="J597" s="11" t="s">
        <v>55</v>
      </c>
      <c r="K597" s="12">
        <v>46261</v>
      </c>
      <c r="L597" s="12">
        <v>46261</v>
      </c>
      <c r="M597" s="13" t="s">
        <v>49</v>
      </c>
      <c r="N597" s="14" t="s">
        <v>102</v>
      </c>
      <c r="O597" s="12">
        <v>46265</v>
      </c>
      <c r="P597" s="11">
        <f t="shared" si="54"/>
        <v>4</v>
      </c>
      <c r="Q597" s="11" t="str">
        <f t="shared" ca="1" si="55"/>
        <v>-</v>
      </c>
      <c r="R597" s="11">
        <f>IFERROR(VLOOKUP(G597,Paramètres!$B$6:$F$8,3,FALSE()),"")</f>
        <v>2</v>
      </c>
      <c r="S597" s="11" t="str">
        <f t="shared" ca="1" si="56"/>
        <v>-</v>
      </c>
      <c r="T597" s="12">
        <v>46266</v>
      </c>
      <c r="U597" s="11">
        <f t="shared" si="57"/>
        <v>1</v>
      </c>
      <c r="V597" s="11">
        <f t="shared" si="58"/>
        <v>-2</v>
      </c>
      <c r="W597" s="11" t="str">
        <f t="shared" si="59"/>
        <v>Dans les délais</v>
      </c>
    </row>
    <row r="598" spans="1:23">
      <c r="A598" s="11">
        <v>582</v>
      </c>
      <c r="B598" s="12">
        <v>46261</v>
      </c>
      <c r="C598" s="13" t="s">
        <v>1557</v>
      </c>
      <c r="D598" s="13" t="s">
        <v>89</v>
      </c>
      <c r="E598" s="13" t="s">
        <v>1558</v>
      </c>
      <c r="F598" s="13" t="s">
        <v>1559</v>
      </c>
      <c r="G598" s="11" t="s">
        <v>39</v>
      </c>
      <c r="H598" s="11">
        <f>IFERROR(VLOOKUP(G598,Paramètres!$B$6:$F$8,2,FALSE()),"")</f>
        <v>5</v>
      </c>
      <c r="I598" s="13" t="s">
        <v>240</v>
      </c>
      <c r="J598" s="11" t="s">
        <v>55</v>
      </c>
      <c r="K598" s="12">
        <v>46262</v>
      </c>
      <c r="L598" s="12">
        <v>46262</v>
      </c>
      <c r="M598" s="13" t="s">
        <v>86</v>
      </c>
      <c r="N598" s="14" t="s">
        <v>102</v>
      </c>
      <c r="O598" s="12"/>
      <c r="P598" s="11" t="str">
        <f t="shared" si="54"/>
        <v/>
      </c>
      <c r="Q598" s="11" t="str">
        <f t="shared" ca="1" si="55"/>
        <v>ROUGE</v>
      </c>
      <c r="R598" s="11">
        <f>IFERROR(VLOOKUP(G598,Paramètres!$B$6:$F$8,3,FALSE()),"")</f>
        <v>2</v>
      </c>
      <c r="S598" s="11" t="str">
        <f t="shared" ca="1" si="56"/>
        <v/>
      </c>
      <c r="T598" s="12"/>
      <c r="U598" s="11" t="str">
        <f t="shared" si="57"/>
        <v/>
      </c>
      <c r="V598" s="11" t="str">
        <f t="shared" si="58"/>
        <v/>
      </c>
      <c r="W598" s="11" t="str">
        <f t="shared" si="59"/>
        <v/>
      </c>
    </row>
    <row r="599" spans="1:23" ht="28.5">
      <c r="A599" s="11">
        <v>583</v>
      </c>
      <c r="B599" s="12">
        <v>46261</v>
      </c>
      <c r="C599" s="13" t="s">
        <v>1560</v>
      </c>
      <c r="D599" s="13" t="s">
        <v>248</v>
      </c>
      <c r="E599" s="13"/>
      <c r="F599" s="13" t="s">
        <v>1561</v>
      </c>
      <c r="G599" s="11" t="s">
        <v>39</v>
      </c>
      <c r="H599" s="11">
        <f>IFERROR(VLOOKUP(G599,Paramètres!$B$6:$F$8,2,FALSE()),"")</f>
        <v>5</v>
      </c>
      <c r="I599" s="13" t="s">
        <v>130</v>
      </c>
      <c r="J599" s="11" t="s">
        <v>48</v>
      </c>
      <c r="K599" s="12">
        <v>46261</v>
      </c>
      <c r="L599" s="12">
        <v>46261</v>
      </c>
      <c r="M599" s="13" t="s">
        <v>75</v>
      </c>
      <c r="N599" s="14" t="s">
        <v>50</v>
      </c>
      <c r="O599" s="12">
        <v>46266</v>
      </c>
      <c r="P599" s="11">
        <f t="shared" si="54"/>
        <v>5</v>
      </c>
      <c r="Q599" s="11" t="str">
        <f t="shared" ca="1" si="55"/>
        <v>-</v>
      </c>
      <c r="R599" s="11">
        <f>IFERROR(VLOOKUP(G599,Paramètres!$B$6:$F$8,3,FALSE()),"")</f>
        <v>2</v>
      </c>
      <c r="S599" s="11" t="str">
        <f t="shared" ca="1" si="56"/>
        <v>-</v>
      </c>
      <c r="T599" s="12">
        <v>46266</v>
      </c>
      <c r="U599" s="11">
        <f t="shared" si="57"/>
        <v>0</v>
      </c>
      <c r="V599" s="11">
        <f t="shared" si="58"/>
        <v>-2</v>
      </c>
      <c r="W599" s="11" t="str">
        <f t="shared" si="59"/>
        <v>Dans les délais</v>
      </c>
    </row>
    <row r="600" spans="1:23">
      <c r="A600" s="11">
        <v>584</v>
      </c>
      <c r="B600" s="12">
        <v>46261</v>
      </c>
      <c r="C600" s="13" t="s">
        <v>1562</v>
      </c>
      <c r="D600" s="13" t="s">
        <v>89</v>
      </c>
      <c r="E600" s="13" t="s">
        <v>1563</v>
      </c>
      <c r="F600" s="13" t="s">
        <v>1564</v>
      </c>
      <c r="G600" s="11" t="s">
        <v>39</v>
      </c>
      <c r="H600" s="11">
        <f>IFERROR(VLOOKUP(G600,Paramètres!$B$6:$F$8,2,FALSE()),"")</f>
        <v>5</v>
      </c>
      <c r="I600" s="13" t="s">
        <v>54</v>
      </c>
      <c r="J600" s="11" t="s">
        <v>55</v>
      </c>
      <c r="K600" s="12">
        <v>46261</v>
      </c>
      <c r="L600" s="12">
        <v>46261</v>
      </c>
      <c r="M600" s="13"/>
      <c r="N600" s="14" t="s">
        <v>66</v>
      </c>
      <c r="O600" s="12">
        <v>46269</v>
      </c>
      <c r="P600" s="11">
        <f t="shared" si="54"/>
        <v>8</v>
      </c>
      <c r="Q600" s="11" t="str">
        <f t="shared" ca="1" si="55"/>
        <v>-</v>
      </c>
      <c r="R600" s="11">
        <f>IFERROR(VLOOKUP(G600,Paramètres!$B$6:$F$8,3,FALSE()),"")</f>
        <v>2</v>
      </c>
      <c r="S600" s="11" t="str">
        <f t="shared" ca="1" si="56"/>
        <v>-</v>
      </c>
      <c r="T600" s="12">
        <v>46272</v>
      </c>
      <c r="U600" s="11">
        <f t="shared" si="57"/>
        <v>3</v>
      </c>
      <c r="V600" s="11">
        <f t="shared" si="58"/>
        <v>4</v>
      </c>
      <c r="W600" s="11" t="str">
        <f t="shared" si="59"/>
        <v>Hors délais</v>
      </c>
    </row>
    <row r="601" spans="1:23">
      <c r="A601" s="11">
        <v>585</v>
      </c>
      <c r="B601" s="12">
        <v>46261</v>
      </c>
      <c r="C601" s="13" t="s">
        <v>1565</v>
      </c>
      <c r="D601" s="13" t="s">
        <v>68</v>
      </c>
      <c r="E601" s="13" t="s">
        <v>1566</v>
      </c>
      <c r="F601" s="13" t="s">
        <v>1567</v>
      </c>
      <c r="G601" s="11" t="s">
        <v>53</v>
      </c>
      <c r="H601" s="11" t="str">
        <f>IFERROR(VLOOKUP(G601,Paramètres!$B$6:$F$8,2,FALSE()),"")</f>
        <v>N/A</v>
      </c>
      <c r="I601" s="13" t="s">
        <v>130</v>
      </c>
      <c r="J601" s="11" t="s">
        <v>48</v>
      </c>
      <c r="K601" s="12">
        <v>46261</v>
      </c>
      <c r="L601" s="12">
        <v>46261</v>
      </c>
      <c r="M601" s="13"/>
      <c r="N601" s="14" t="s">
        <v>121</v>
      </c>
      <c r="O601" s="12"/>
      <c r="P601" s="11" t="str">
        <f t="shared" si="54"/>
        <v>-</v>
      </c>
      <c r="Q601" s="11" t="str">
        <f t="shared" ca="1" si="55"/>
        <v>-</v>
      </c>
      <c r="R601" s="11" t="str">
        <f>IFERROR(VLOOKUP(G601,Paramètres!$B$6:$F$8,3,FALSE()),"")</f>
        <v>N/A</v>
      </c>
      <c r="S601" s="11" t="str">
        <f t="shared" ca="1" si="56"/>
        <v>-</v>
      </c>
      <c r="T601" s="12"/>
      <c r="U601" s="11" t="str">
        <f t="shared" si="57"/>
        <v>-</v>
      </c>
      <c r="V601" s="11" t="str">
        <f t="shared" si="58"/>
        <v>-</v>
      </c>
      <c r="W601" s="11" t="str">
        <f t="shared" si="59"/>
        <v>Ne nécessite pas de réponse</v>
      </c>
    </row>
    <row r="602" spans="1:23">
      <c r="A602" s="11">
        <v>586</v>
      </c>
      <c r="B602" s="12">
        <v>46261</v>
      </c>
      <c r="C602" s="13" t="s">
        <v>1568</v>
      </c>
      <c r="D602" s="13" t="s">
        <v>45</v>
      </c>
      <c r="E602" s="13"/>
      <c r="F602" s="13" t="s">
        <v>1569</v>
      </c>
      <c r="G602" s="11" t="s">
        <v>53</v>
      </c>
      <c r="H602" s="11" t="str">
        <f>IFERROR(VLOOKUP(G602,Paramètres!$B$6:$F$8,2,FALSE()),"")</f>
        <v>N/A</v>
      </c>
      <c r="I602" s="13" t="s">
        <v>228</v>
      </c>
      <c r="J602" s="11" t="s">
        <v>55</v>
      </c>
      <c r="K602" s="12">
        <v>46261</v>
      </c>
      <c r="L602" s="12">
        <v>46261</v>
      </c>
      <c r="M602" s="13" t="s">
        <v>42</v>
      </c>
      <c r="N602" s="14" t="s">
        <v>102</v>
      </c>
      <c r="O602" s="12"/>
      <c r="P602" s="11" t="str">
        <f t="shared" si="54"/>
        <v>-</v>
      </c>
      <c r="Q602" s="11" t="str">
        <f t="shared" ca="1" si="55"/>
        <v>-</v>
      </c>
      <c r="R602" s="11" t="str">
        <f>IFERROR(VLOOKUP(G602,Paramètres!$B$6:$F$8,3,FALSE()),"")</f>
        <v>N/A</v>
      </c>
      <c r="S602" s="11" t="str">
        <f t="shared" ca="1" si="56"/>
        <v>-</v>
      </c>
      <c r="T602" s="12"/>
      <c r="U602" s="11" t="str">
        <f t="shared" si="57"/>
        <v>-</v>
      </c>
      <c r="V602" s="11" t="str">
        <f t="shared" si="58"/>
        <v>-</v>
      </c>
      <c r="W602" s="11" t="str">
        <f t="shared" si="59"/>
        <v>Ne nécessite pas de réponse</v>
      </c>
    </row>
    <row r="603" spans="1:23">
      <c r="A603" s="11">
        <v>587</v>
      </c>
      <c r="B603" s="12">
        <v>46262</v>
      </c>
      <c r="C603" s="13" t="s">
        <v>1570</v>
      </c>
      <c r="D603" s="13" t="s">
        <v>137</v>
      </c>
      <c r="E603" s="13" t="s">
        <v>1571</v>
      </c>
      <c r="F603" s="13" t="s">
        <v>1572</v>
      </c>
      <c r="G603" s="11" t="s">
        <v>53</v>
      </c>
      <c r="H603" s="11" t="str">
        <f>IFERROR(VLOOKUP(G603,Paramètres!$B$6:$F$8,2,FALSE()),"")</f>
        <v>N/A</v>
      </c>
      <c r="I603" s="13" t="s">
        <v>65</v>
      </c>
      <c r="J603" s="11" t="s">
        <v>55</v>
      </c>
      <c r="K603" s="12">
        <v>46262</v>
      </c>
      <c r="L603" s="12">
        <v>46262</v>
      </c>
      <c r="M603" s="13"/>
      <c r="N603" s="14" t="s">
        <v>102</v>
      </c>
      <c r="O603" s="12"/>
      <c r="P603" s="11" t="str">
        <f t="shared" si="54"/>
        <v>-</v>
      </c>
      <c r="Q603" s="11" t="str">
        <f t="shared" ca="1" si="55"/>
        <v>-</v>
      </c>
      <c r="R603" s="11" t="str">
        <f>IFERROR(VLOOKUP(G603,Paramètres!$B$6:$F$8,3,FALSE()),"")</f>
        <v>N/A</v>
      </c>
      <c r="S603" s="11" t="str">
        <f t="shared" ca="1" si="56"/>
        <v>-</v>
      </c>
      <c r="T603" s="12"/>
      <c r="U603" s="11" t="str">
        <f t="shared" si="57"/>
        <v>-</v>
      </c>
      <c r="V603" s="11" t="str">
        <f t="shared" si="58"/>
        <v>-</v>
      </c>
      <c r="W603" s="11" t="str">
        <f t="shared" si="59"/>
        <v>Ne nécessite pas de réponse</v>
      </c>
    </row>
    <row r="604" spans="1:23">
      <c r="A604" s="11">
        <v>588</v>
      </c>
      <c r="B604" s="12">
        <v>46265</v>
      </c>
      <c r="C604" s="13" t="s">
        <v>1573</v>
      </c>
      <c r="D604" s="13" t="s">
        <v>59</v>
      </c>
      <c r="E604" s="13" t="s">
        <v>1574</v>
      </c>
      <c r="F604" s="13" t="s">
        <v>1575</v>
      </c>
      <c r="G604" s="11" t="s">
        <v>39</v>
      </c>
      <c r="H604" s="11">
        <f>IFERROR(VLOOKUP(G604,Paramètres!$B$6:$F$8,2,FALSE()),"")</f>
        <v>5</v>
      </c>
      <c r="I604" s="13" t="s">
        <v>54</v>
      </c>
      <c r="J604" s="11" t="s">
        <v>55</v>
      </c>
      <c r="K604" s="12">
        <v>46265</v>
      </c>
      <c r="L604" s="12">
        <v>46266</v>
      </c>
      <c r="M604" s="13" t="s">
        <v>42</v>
      </c>
      <c r="N604" s="14" t="s">
        <v>66</v>
      </c>
      <c r="O604" s="12">
        <v>46272</v>
      </c>
      <c r="P604" s="11">
        <f t="shared" si="54"/>
        <v>7</v>
      </c>
      <c r="Q604" s="11" t="str">
        <f t="shared" ca="1" si="55"/>
        <v>-</v>
      </c>
      <c r="R604" s="11">
        <f>IFERROR(VLOOKUP(G604,Paramètres!$B$6:$F$8,3,FALSE()),"")</f>
        <v>2</v>
      </c>
      <c r="S604" s="11" t="str">
        <f t="shared" ca="1" si="56"/>
        <v>-</v>
      </c>
      <c r="T604" s="12">
        <v>46273</v>
      </c>
      <c r="U604" s="11">
        <f t="shared" si="57"/>
        <v>1</v>
      </c>
      <c r="V604" s="11">
        <f t="shared" si="58"/>
        <v>1</v>
      </c>
      <c r="W604" s="11" t="str">
        <f t="shared" si="59"/>
        <v>Hors délais</v>
      </c>
    </row>
    <row r="605" spans="1:23">
      <c r="A605" s="11">
        <v>589</v>
      </c>
      <c r="B605" s="12">
        <v>46266</v>
      </c>
      <c r="C605" s="13" t="s">
        <v>1576</v>
      </c>
      <c r="D605" s="13" t="s">
        <v>145</v>
      </c>
      <c r="E605" s="13" t="s">
        <v>1577</v>
      </c>
      <c r="F605" s="13" t="s">
        <v>1578</v>
      </c>
      <c r="G605" s="11" t="s">
        <v>39</v>
      </c>
      <c r="H605" s="11">
        <f>IFERROR(VLOOKUP(G605,Paramètres!$B$6:$F$8,2,FALSE()),"")</f>
        <v>5</v>
      </c>
      <c r="I605" s="13" t="s">
        <v>185</v>
      </c>
      <c r="J605" s="11" t="s">
        <v>48</v>
      </c>
      <c r="K605" s="12">
        <v>46266</v>
      </c>
      <c r="L605" s="12">
        <v>46266</v>
      </c>
      <c r="M605" s="13"/>
      <c r="N605" s="14" t="s">
        <v>186</v>
      </c>
      <c r="O605" s="12">
        <v>46268</v>
      </c>
      <c r="P605" s="11">
        <f t="shared" si="54"/>
        <v>2</v>
      </c>
      <c r="Q605" s="11" t="str">
        <f t="shared" ca="1" si="55"/>
        <v>-</v>
      </c>
      <c r="R605" s="11">
        <f>IFERROR(VLOOKUP(G605,Paramètres!$B$6:$F$8,3,FALSE()),"")</f>
        <v>2</v>
      </c>
      <c r="S605" s="11" t="str">
        <f t="shared" ca="1" si="56"/>
        <v>-</v>
      </c>
      <c r="T605" s="12">
        <v>46268</v>
      </c>
      <c r="U605" s="11">
        <f t="shared" si="57"/>
        <v>0</v>
      </c>
      <c r="V605" s="11">
        <f t="shared" si="58"/>
        <v>-5</v>
      </c>
      <c r="W605" s="11" t="str">
        <f t="shared" si="59"/>
        <v>Dans les délais</v>
      </c>
    </row>
    <row r="606" spans="1:23">
      <c r="A606" s="11">
        <v>590</v>
      </c>
      <c r="B606" s="12">
        <v>46266</v>
      </c>
      <c r="C606" s="13" t="s">
        <v>1579</v>
      </c>
      <c r="D606" s="13" t="s">
        <v>45</v>
      </c>
      <c r="E606" s="13" t="s">
        <v>1580</v>
      </c>
      <c r="F606" s="13" t="s">
        <v>1581</v>
      </c>
      <c r="G606" s="11" t="s">
        <v>53</v>
      </c>
      <c r="H606" s="11" t="str">
        <f>IFERROR(VLOOKUP(G606,Paramètres!$B$6:$F$8,2,FALSE()),"")</f>
        <v>N/A</v>
      </c>
      <c r="I606" s="13" t="s">
        <v>426</v>
      </c>
      <c r="J606" s="11" t="s">
        <v>41</v>
      </c>
      <c r="K606" s="12">
        <v>46266</v>
      </c>
      <c r="L606" s="12">
        <v>46266</v>
      </c>
      <c r="M606" s="13"/>
      <c r="N606" s="14" t="s">
        <v>87</v>
      </c>
      <c r="O606" s="12"/>
      <c r="P606" s="11" t="str">
        <f t="shared" si="54"/>
        <v>-</v>
      </c>
      <c r="Q606" s="11" t="str">
        <f t="shared" ca="1" si="55"/>
        <v>-</v>
      </c>
      <c r="R606" s="11" t="str">
        <f>IFERROR(VLOOKUP(G606,Paramètres!$B$6:$F$8,3,FALSE()),"")</f>
        <v>N/A</v>
      </c>
      <c r="S606" s="11" t="str">
        <f t="shared" ca="1" si="56"/>
        <v>-</v>
      </c>
      <c r="T606" s="12"/>
      <c r="U606" s="11" t="str">
        <f t="shared" si="57"/>
        <v>-</v>
      </c>
      <c r="V606" s="11" t="str">
        <f t="shared" si="58"/>
        <v>-</v>
      </c>
      <c r="W606" s="11" t="str">
        <f t="shared" si="59"/>
        <v>Ne nécessite pas de réponse</v>
      </c>
    </row>
    <row r="607" spans="1:23">
      <c r="A607" s="11">
        <v>591</v>
      </c>
      <c r="B607" s="12">
        <v>46266</v>
      </c>
      <c r="C607" s="13" t="s">
        <v>1582</v>
      </c>
      <c r="D607" s="13" t="s">
        <v>81</v>
      </c>
      <c r="E607" s="13"/>
      <c r="F607" s="13" t="s">
        <v>1583</v>
      </c>
      <c r="G607" s="11" t="s">
        <v>53</v>
      </c>
      <c r="H607" s="11" t="str">
        <f>IFERROR(VLOOKUP(G607,Paramètres!$B$6:$F$8,2,FALSE()),"")</f>
        <v>N/A</v>
      </c>
      <c r="I607" s="13" t="s">
        <v>85</v>
      </c>
      <c r="J607" s="11" t="s">
        <v>41</v>
      </c>
      <c r="K607" s="12">
        <v>46266</v>
      </c>
      <c r="L607" s="12">
        <v>46266</v>
      </c>
      <c r="M607" s="13" t="s">
        <v>61</v>
      </c>
      <c r="N607" s="14" t="s">
        <v>43</v>
      </c>
      <c r="O607" s="12"/>
      <c r="P607" s="11" t="str">
        <f t="shared" si="54"/>
        <v>-</v>
      </c>
      <c r="Q607" s="11" t="str">
        <f t="shared" ca="1" si="55"/>
        <v>-</v>
      </c>
      <c r="R607" s="11" t="str">
        <f>IFERROR(VLOOKUP(G607,Paramètres!$B$6:$F$8,3,FALSE()),"")</f>
        <v>N/A</v>
      </c>
      <c r="S607" s="11" t="str">
        <f t="shared" ca="1" si="56"/>
        <v>-</v>
      </c>
      <c r="T607" s="12"/>
      <c r="U607" s="11" t="str">
        <f t="shared" si="57"/>
        <v>-</v>
      </c>
      <c r="V607" s="11" t="str">
        <f t="shared" si="58"/>
        <v>-</v>
      </c>
      <c r="W607" s="11" t="str">
        <f t="shared" si="59"/>
        <v>Ne nécessite pas de réponse</v>
      </c>
    </row>
    <row r="608" spans="1:23">
      <c r="A608" s="11">
        <v>592</v>
      </c>
      <c r="B608" s="12">
        <v>46266</v>
      </c>
      <c r="C608" s="13" t="s">
        <v>1584</v>
      </c>
      <c r="D608" s="13" t="s">
        <v>59</v>
      </c>
      <c r="E608" s="13" t="s">
        <v>1585</v>
      </c>
      <c r="F608" s="13" t="s">
        <v>1586</v>
      </c>
      <c r="G608" s="11" t="s">
        <v>39</v>
      </c>
      <c r="H608" s="11">
        <f>IFERROR(VLOOKUP(G608,Paramètres!$B$6:$F$8,2,FALSE()),"")</f>
        <v>5</v>
      </c>
      <c r="I608" s="13" t="s">
        <v>91</v>
      </c>
      <c r="J608" s="11" t="s">
        <v>41</v>
      </c>
      <c r="K608" s="12">
        <v>46266</v>
      </c>
      <c r="L608" s="12">
        <v>46267</v>
      </c>
      <c r="M608" s="13" t="s">
        <v>49</v>
      </c>
      <c r="N608" s="14" t="s">
        <v>43</v>
      </c>
      <c r="O608" s="12">
        <v>46279</v>
      </c>
      <c r="P608" s="11">
        <f t="shared" si="54"/>
        <v>13</v>
      </c>
      <c r="Q608" s="11" t="str">
        <f t="shared" ca="1" si="55"/>
        <v>-</v>
      </c>
      <c r="R608" s="11">
        <f>IFERROR(VLOOKUP(G608,Paramètres!$B$6:$F$8,3,FALSE()),"")</f>
        <v>2</v>
      </c>
      <c r="S608" s="11" t="str">
        <f t="shared" ca="1" si="56"/>
        <v>-</v>
      </c>
      <c r="T608" s="12">
        <v>46282</v>
      </c>
      <c r="U608" s="11">
        <f t="shared" si="57"/>
        <v>3</v>
      </c>
      <c r="V608" s="11">
        <f t="shared" si="58"/>
        <v>9</v>
      </c>
      <c r="W608" s="11" t="str">
        <f t="shared" si="59"/>
        <v>Hors délais</v>
      </c>
    </row>
    <row r="609" spans="1:23" ht="28.5">
      <c r="A609" s="11">
        <v>593</v>
      </c>
      <c r="B609" s="12">
        <v>46266</v>
      </c>
      <c r="C609" s="13" t="s">
        <v>1587</v>
      </c>
      <c r="D609" s="13" t="s">
        <v>63</v>
      </c>
      <c r="E609" s="13"/>
      <c r="F609" s="13" t="s">
        <v>1588</v>
      </c>
      <c r="G609" s="11" t="s">
        <v>39</v>
      </c>
      <c r="H609" s="11">
        <f>IFERROR(VLOOKUP(G609,Paramètres!$B$6:$F$8,2,FALSE()),"")</f>
        <v>5</v>
      </c>
      <c r="I609" s="13" t="s">
        <v>74</v>
      </c>
      <c r="J609" s="11" t="s">
        <v>41</v>
      </c>
      <c r="K609" s="12">
        <v>46266</v>
      </c>
      <c r="L609" s="12">
        <v>46266</v>
      </c>
      <c r="M609" s="13" t="s">
        <v>75</v>
      </c>
      <c r="N609" s="14" t="s">
        <v>43</v>
      </c>
      <c r="O609" s="12">
        <v>46268</v>
      </c>
      <c r="P609" s="11">
        <f t="shared" si="54"/>
        <v>2</v>
      </c>
      <c r="Q609" s="11" t="str">
        <f t="shared" ca="1" si="55"/>
        <v>-</v>
      </c>
      <c r="R609" s="11">
        <f>IFERROR(VLOOKUP(G609,Paramètres!$B$6:$F$8,3,FALSE()),"")</f>
        <v>2</v>
      </c>
      <c r="S609" s="11" t="str">
        <f t="shared" ca="1" si="56"/>
        <v>-</v>
      </c>
      <c r="T609" s="12">
        <v>46272</v>
      </c>
      <c r="U609" s="11">
        <f t="shared" si="57"/>
        <v>4</v>
      </c>
      <c r="V609" s="11">
        <f t="shared" si="58"/>
        <v>-1</v>
      </c>
      <c r="W609" s="11" t="str">
        <f t="shared" si="59"/>
        <v>Dans les délais</v>
      </c>
    </row>
    <row r="610" spans="1:23" ht="28.5">
      <c r="A610" s="11">
        <v>594</v>
      </c>
      <c r="B610" s="12">
        <v>46266</v>
      </c>
      <c r="C610" s="13" t="s">
        <v>1589</v>
      </c>
      <c r="D610" s="13" t="s">
        <v>59</v>
      </c>
      <c r="E610" s="13"/>
      <c r="F610" s="13" t="s">
        <v>1590</v>
      </c>
      <c r="G610" s="11" t="s">
        <v>39</v>
      </c>
      <c r="H610" s="11">
        <f>IFERROR(VLOOKUP(G610,Paramètres!$B$6:$F$8,2,FALSE()),"")</f>
        <v>5</v>
      </c>
      <c r="I610" s="13" t="s">
        <v>185</v>
      </c>
      <c r="J610" s="11" t="s">
        <v>48</v>
      </c>
      <c r="K610" s="12">
        <v>46266</v>
      </c>
      <c r="L610" s="12">
        <v>46266</v>
      </c>
      <c r="M610" s="13" t="s">
        <v>75</v>
      </c>
      <c r="N610" s="14" t="s">
        <v>121</v>
      </c>
      <c r="O610" s="12">
        <v>46272</v>
      </c>
      <c r="P610" s="11">
        <f t="shared" si="54"/>
        <v>6</v>
      </c>
      <c r="Q610" s="11" t="str">
        <f t="shared" ca="1" si="55"/>
        <v>-</v>
      </c>
      <c r="R610" s="11">
        <f>IFERROR(VLOOKUP(G610,Paramètres!$B$6:$F$8,3,FALSE()),"")</f>
        <v>2</v>
      </c>
      <c r="S610" s="11" t="str">
        <f t="shared" ca="1" si="56"/>
        <v>-</v>
      </c>
      <c r="T610" s="12">
        <v>46275</v>
      </c>
      <c r="U610" s="11">
        <f t="shared" si="57"/>
        <v>3</v>
      </c>
      <c r="V610" s="11">
        <f t="shared" si="58"/>
        <v>2</v>
      </c>
      <c r="W610" s="11" t="str">
        <f t="shared" si="59"/>
        <v>Hors délais</v>
      </c>
    </row>
    <row r="611" spans="1:23">
      <c r="A611" s="11">
        <v>595</v>
      </c>
      <c r="B611" s="12">
        <v>46267</v>
      </c>
      <c r="C611" s="13" t="s">
        <v>1591</v>
      </c>
      <c r="D611" s="13" t="s">
        <v>345</v>
      </c>
      <c r="E611" s="13"/>
      <c r="F611" s="13" t="s">
        <v>1592</v>
      </c>
      <c r="G611" s="11" t="s">
        <v>39</v>
      </c>
      <c r="H611" s="11">
        <f>IFERROR(VLOOKUP(G611,Paramètres!$B$6:$F$8,2,FALSE()),"")</f>
        <v>5</v>
      </c>
      <c r="I611" s="13" t="s">
        <v>91</v>
      </c>
      <c r="J611" s="11" t="s">
        <v>41</v>
      </c>
      <c r="K611" s="12">
        <v>46267</v>
      </c>
      <c r="L611" s="12">
        <v>46267</v>
      </c>
      <c r="M611" s="13"/>
      <c r="N611" s="14" t="s">
        <v>76</v>
      </c>
      <c r="O611" s="12">
        <v>46273</v>
      </c>
      <c r="P611" s="11">
        <f t="shared" si="54"/>
        <v>6</v>
      </c>
      <c r="Q611" s="11" t="str">
        <f t="shared" ca="1" si="55"/>
        <v>-</v>
      </c>
      <c r="R611" s="11">
        <f>IFERROR(VLOOKUP(G611,Paramètres!$B$6:$F$8,3,FALSE()),"")</f>
        <v>2</v>
      </c>
      <c r="S611" s="11" t="str">
        <f t="shared" ca="1" si="56"/>
        <v>-</v>
      </c>
      <c r="T611" s="12">
        <v>46274</v>
      </c>
      <c r="U611" s="11">
        <f t="shared" si="57"/>
        <v>1</v>
      </c>
      <c r="V611" s="11">
        <f t="shared" si="58"/>
        <v>0</v>
      </c>
      <c r="W611" s="11" t="str">
        <f t="shared" si="59"/>
        <v>Dans les délais</v>
      </c>
    </row>
    <row r="612" spans="1:23" ht="28.5">
      <c r="A612" s="11">
        <v>596</v>
      </c>
      <c r="B612" s="12">
        <v>46267</v>
      </c>
      <c r="C612" s="13" t="s">
        <v>1593</v>
      </c>
      <c r="D612" s="13" t="s">
        <v>89</v>
      </c>
      <c r="E612" s="13" t="s">
        <v>1594</v>
      </c>
      <c r="F612" s="13" t="s">
        <v>1595</v>
      </c>
      <c r="G612" s="11" t="s">
        <v>39</v>
      </c>
      <c r="H612" s="11">
        <f>IFERROR(VLOOKUP(G612,Paramètres!$B$6:$F$8,2,FALSE()),"")</f>
        <v>5</v>
      </c>
      <c r="I612" s="13" t="s">
        <v>232</v>
      </c>
      <c r="J612" s="11" t="s">
        <v>55</v>
      </c>
      <c r="K612" s="12">
        <v>46267</v>
      </c>
      <c r="L612" s="12">
        <v>46267</v>
      </c>
      <c r="M612" s="13" t="s">
        <v>75</v>
      </c>
      <c r="N612" s="14" t="s">
        <v>66</v>
      </c>
      <c r="O612" s="12">
        <v>46273</v>
      </c>
      <c r="P612" s="11">
        <f t="shared" si="54"/>
        <v>6</v>
      </c>
      <c r="Q612" s="11" t="str">
        <f t="shared" ca="1" si="55"/>
        <v>-</v>
      </c>
      <c r="R612" s="11">
        <f>IFERROR(VLOOKUP(G612,Paramètres!$B$6:$F$8,3,FALSE()),"")</f>
        <v>2</v>
      </c>
      <c r="S612" s="11" t="str">
        <f t="shared" ca="1" si="56"/>
        <v>-</v>
      </c>
      <c r="T612" s="12">
        <v>46275</v>
      </c>
      <c r="U612" s="11">
        <f t="shared" si="57"/>
        <v>2</v>
      </c>
      <c r="V612" s="11">
        <f t="shared" si="58"/>
        <v>1</v>
      </c>
      <c r="W612" s="11" t="str">
        <f t="shared" si="59"/>
        <v>Hors délais</v>
      </c>
    </row>
    <row r="613" spans="1:23">
      <c r="A613" s="11">
        <v>597</v>
      </c>
      <c r="B613" s="12">
        <v>46267</v>
      </c>
      <c r="C613" s="13" t="s">
        <v>1596</v>
      </c>
      <c r="D613" s="13" t="s">
        <v>230</v>
      </c>
      <c r="E613" s="13"/>
      <c r="F613" s="13" t="s">
        <v>1597</v>
      </c>
      <c r="G613" s="11" t="s">
        <v>39</v>
      </c>
      <c r="H613" s="11">
        <f>IFERROR(VLOOKUP(G613,Paramètres!$B$6:$F$8,2,FALSE()),"")</f>
        <v>5</v>
      </c>
      <c r="I613" s="13" t="s">
        <v>98</v>
      </c>
      <c r="J613" s="11" t="s">
        <v>41</v>
      </c>
      <c r="K613" s="12">
        <v>46267</v>
      </c>
      <c r="L613" s="12">
        <v>46267</v>
      </c>
      <c r="M613" s="13" t="s">
        <v>42</v>
      </c>
      <c r="N613" s="14" t="s">
        <v>43</v>
      </c>
      <c r="O613" s="12">
        <v>46269</v>
      </c>
      <c r="P613" s="11">
        <f t="shared" si="54"/>
        <v>2</v>
      </c>
      <c r="Q613" s="11" t="str">
        <f t="shared" ca="1" si="55"/>
        <v>-</v>
      </c>
      <c r="R613" s="11">
        <f>IFERROR(VLOOKUP(G613,Paramètres!$B$6:$F$8,3,FALSE()),"")</f>
        <v>2</v>
      </c>
      <c r="S613" s="11" t="str">
        <f t="shared" ca="1" si="56"/>
        <v>-</v>
      </c>
      <c r="T613" s="12">
        <v>46272</v>
      </c>
      <c r="U613" s="11">
        <f t="shared" si="57"/>
        <v>3</v>
      </c>
      <c r="V613" s="11">
        <f t="shared" si="58"/>
        <v>-2</v>
      </c>
      <c r="W613" s="11" t="str">
        <f t="shared" si="59"/>
        <v>Dans les délais</v>
      </c>
    </row>
    <row r="614" spans="1:23">
      <c r="A614" s="11">
        <v>598</v>
      </c>
      <c r="B614" s="12">
        <v>46267</v>
      </c>
      <c r="C614" s="13" t="s">
        <v>1598</v>
      </c>
      <c r="D614" s="13" t="s">
        <v>96</v>
      </c>
      <c r="E614" s="13" t="s">
        <v>1599</v>
      </c>
      <c r="F614" s="13" t="s">
        <v>1600</v>
      </c>
      <c r="G614" s="11" t="s">
        <v>84</v>
      </c>
      <c r="H614" s="11">
        <f>IFERROR(VLOOKUP(G614,Paramètres!$B$6:$F$8,2,FALSE()),"")</f>
        <v>5</v>
      </c>
      <c r="I614" s="13" t="s">
        <v>40</v>
      </c>
      <c r="J614" s="11" t="s">
        <v>41</v>
      </c>
      <c r="K614" s="12">
        <v>46267</v>
      </c>
      <c r="L614" s="12">
        <v>46267</v>
      </c>
      <c r="M614" s="13" t="s">
        <v>49</v>
      </c>
      <c r="N614" s="14" t="s">
        <v>43</v>
      </c>
      <c r="O614" s="12">
        <v>46283</v>
      </c>
      <c r="P614" s="11">
        <f t="shared" si="54"/>
        <v>16</v>
      </c>
      <c r="Q614" s="11" t="str">
        <f t="shared" ca="1" si="55"/>
        <v>-</v>
      </c>
      <c r="R614" s="11">
        <f>IFERROR(VLOOKUP(G614,Paramètres!$B$6:$F$8,3,FALSE()),"")</f>
        <v>2</v>
      </c>
      <c r="S614" s="11" t="str">
        <f t="shared" ca="1" si="56"/>
        <v>-</v>
      </c>
      <c r="T614" s="12">
        <v>46290</v>
      </c>
      <c r="U614" s="11">
        <f t="shared" si="57"/>
        <v>7</v>
      </c>
      <c r="V614" s="11">
        <f t="shared" si="58"/>
        <v>16</v>
      </c>
      <c r="W614" s="11" t="str">
        <f t="shared" si="59"/>
        <v>Hors délais</v>
      </c>
    </row>
    <row r="615" spans="1:23">
      <c r="A615" s="11">
        <v>599</v>
      </c>
      <c r="B615" s="12">
        <v>46268</v>
      </c>
      <c r="C615" s="13" t="s">
        <v>1601</v>
      </c>
      <c r="D615" s="13" t="s">
        <v>123</v>
      </c>
      <c r="E615" s="13"/>
      <c r="F615" s="13" t="s">
        <v>1602</v>
      </c>
      <c r="G615" s="11" t="s">
        <v>39</v>
      </c>
      <c r="H615" s="11">
        <f>IFERROR(VLOOKUP(G615,Paramètres!$B$6:$F$8,2,FALSE()),"")</f>
        <v>5</v>
      </c>
      <c r="I615" s="13" t="s">
        <v>94</v>
      </c>
      <c r="J615" s="11" t="s">
        <v>55</v>
      </c>
      <c r="K615" s="12">
        <v>46268</v>
      </c>
      <c r="L615" s="12">
        <v>46269</v>
      </c>
      <c r="M615" s="13" t="s">
        <v>86</v>
      </c>
      <c r="N615" s="14" t="s">
        <v>57</v>
      </c>
      <c r="O615" s="12">
        <v>46275</v>
      </c>
      <c r="P615" s="11">
        <f t="shared" si="54"/>
        <v>7</v>
      </c>
      <c r="Q615" s="11" t="str">
        <f t="shared" ca="1" si="55"/>
        <v>-</v>
      </c>
      <c r="R615" s="11">
        <f>IFERROR(VLOOKUP(G615,Paramètres!$B$6:$F$8,3,FALSE()),"")</f>
        <v>2</v>
      </c>
      <c r="S615" s="11" t="str">
        <f t="shared" ca="1" si="56"/>
        <v>-</v>
      </c>
      <c r="T615" s="12">
        <v>46276</v>
      </c>
      <c r="U615" s="11">
        <f t="shared" si="57"/>
        <v>1</v>
      </c>
      <c r="V615" s="11">
        <f t="shared" si="58"/>
        <v>1</v>
      </c>
      <c r="W615" s="11" t="str">
        <f t="shared" si="59"/>
        <v>Hors délais</v>
      </c>
    </row>
    <row r="616" spans="1:23">
      <c r="A616" s="11">
        <v>600</v>
      </c>
      <c r="B616" s="12">
        <v>46268</v>
      </c>
      <c r="C616" s="13" t="s">
        <v>1603</v>
      </c>
      <c r="D616" s="13" t="s">
        <v>145</v>
      </c>
      <c r="E616" s="13"/>
      <c r="F616" s="13" t="s">
        <v>1604</v>
      </c>
      <c r="G616" s="11" t="s">
        <v>39</v>
      </c>
      <c r="H616" s="11">
        <f>IFERROR(VLOOKUP(G616,Paramètres!$B$6:$F$8,2,FALSE()),"")</f>
        <v>5</v>
      </c>
      <c r="I616" s="13" t="s">
        <v>54</v>
      </c>
      <c r="J616" s="11" t="s">
        <v>55</v>
      </c>
      <c r="K616" s="12">
        <v>46269</v>
      </c>
      <c r="L616" s="12">
        <v>46272</v>
      </c>
      <c r="M616" s="13" t="s">
        <v>61</v>
      </c>
      <c r="N616" s="14" t="s">
        <v>66</v>
      </c>
      <c r="O616" s="12">
        <v>46275</v>
      </c>
      <c r="P616" s="11">
        <f t="shared" si="54"/>
        <v>7</v>
      </c>
      <c r="Q616" s="11" t="str">
        <f t="shared" ca="1" si="55"/>
        <v>-</v>
      </c>
      <c r="R616" s="11">
        <f>IFERROR(VLOOKUP(G616,Paramètres!$B$6:$F$8,3,FALSE()),"")</f>
        <v>2</v>
      </c>
      <c r="S616" s="11" t="str">
        <f t="shared" ca="1" si="56"/>
        <v>-</v>
      </c>
      <c r="T616" s="12">
        <v>46279</v>
      </c>
      <c r="U616" s="11">
        <f t="shared" si="57"/>
        <v>4</v>
      </c>
      <c r="V616" s="11">
        <f t="shared" si="58"/>
        <v>4</v>
      </c>
      <c r="W616" s="11" t="str">
        <f t="shared" si="59"/>
        <v>Hors délais</v>
      </c>
    </row>
    <row r="617" spans="1:23">
      <c r="A617" s="11">
        <v>601</v>
      </c>
      <c r="B617" s="12">
        <v>46269</v>
      </c>
      <c r="C617" s="13" t="s">
        <v>1605</v>
      </c>
      <c r="D617" s="13" t="s">
        <v>96</v>
      </c>
      <c r="E617" s="13"/>
      <c r="F617" s="13" t="s">
        <v>1606</v>
      </c>
      <c r="G617" s="11" t="s">
        <v>39</v>
      </c>
      <c r="H617" s="11">
        <f>IFERROR(VLOOKUP(G617,Paramètres!$B$6:$F$8,2,FALSE()),"")</f>
        <v>5</v>
      </c>
      <c r="I617" s="13" t="s">
        <v>168</v>
      </c>
      <c r="J617" s="11" t="s">
        <v>48</v>
      </c>
      <c r="K617" s="12">
        <v>46269</v>
      </c>
      <c r="L617" s="12">
        <v>46269</v>
      </c>
      <c r="M617" s="13" t="s">
        <v>49</v>
      </c>
      <c r="N617" s="14" t="s">
        <v>50</v>
      </c>
      <c r="O617" s="12">
        <v>46276</v>
      </c>
      <c r="P617" s="11">
        <f t="shared" si="54"/>
        <v>7</v>
      </c>
      <c r="Q617" s="11" t="str">
        <f t="shared" ca="1" si="55"/>
        <v>-</v>
      </c>
      <c r="R617" s="11">
        <f>IFERROR(VLOOKUP(G617,Paramètres!$B$6:$F$8,3,FALSE()),"")</f>
        <v>2</v>
      </c>
      <c r="S617" s="11" t="str">
        <f t="shared" ca="1" si="56"/>
        <v>-</v>
      </c>
      <c r="T617" s="12">
        <v>46283</v>
      </c>
      <c r="U617" s="11">
        <f t="shared" si="57"/>
        <v>7</v>
      </c>
      <c r="V617" s="11">
        <f t="shared" si="58"/>
        <v>7</v>
      </c>
      <c r="W617" s="11" t="str">
        <f t="shared" si="59"/>
        <v>Hors délais</v>
      </c>
    </row>
    <row r="618" spans="1:23">
      <c r="A618" s="11">
        <v>602</v>
      </c>
      <c r="B618" s="12">
        <v>46269</v>
      </c>
      <c r="C618" s="13" t="s">
        <v>1607</v>
      </c>
      <c r="D618" s="13" t="s">
        <v>118</v>
      </c>
      <c r="E618" s="13"/>
      <c r="F618" s="13" t="s">
        <v>1608</v>
      </c>
      <c r="G618" s="11" t="s">
        <v>53</v>
      </c>
      <c r="H618" s="11" t="str">
        <f>IFERROR(VLOOKUP(G618,Paramètres!$B$6:$F$8,2,FALSE()),"")</f>
        <v>N/A</v>
      </c>
      <c r="I618" s="13" t="s">
        <v>426</v>
      </c>
      <c r="J618" s="11" t="s">
        <v>41</v>
      </c>
      <c r="K618" s="12">
        <v>46269</v>
      </c>
      <c r="L618" s="12">
        <v>46272</v>
      </c>
      <c r="M618" s="13" t="s">
        <v>86</v>
      </c>
      <c r="N618" s="14" t="s">
        <v>43</v>
      </c>
      <c r="O618" s="12"/>
      <c r="P618" s="11" t="str">
        <f t="shared" si="54"/>
        <v>-</v>
      </c>
      <c r="Q618" s="11" t="str">
        <f t="shared" ca="1" si="55"/>
        <v>-</v>
      </c>
      <c r="R618" s="11" t="str">
        <f>IFERROR(VLOOKUP(G618,Paramètres!$B$6:$F$8,3,FALSE()),"")</f>
        <v>N/A</v>
      </c>
      <c r="S618" s="11" t="str">
        <f t="shared" ca="1" si="56"/>
        <v>-</v>
      </c>
      <c r="T618" s="12"/>
      <c r="U618" s="11" t="str">
        <f t="shared" si="57"/>
        <v>-</v>
      </c>
      <c r="V618" s="11" t="str">
        <f t="shared" si="58"/>
        <v>-</v>
      </c>
      <c r="W618" s="11" t="str">
        <f t="shared" si="59"/>
        <v>Ne nécessite pas de réponse</v>
      </c>
    </row>
    <row r="619" spans="1:23" ht="28.5">
      <c r="A619" s="11">
        <v>603</v>
      </c>
      <c r="B619" s="12">
        <v>46272</v>
      </c>
      <c r="C619" s="13" t="s">
        <v>1609</v>
      </c>
      <c r="D619" s="13" t="s">
        <v>45</v>
      </c>
      <c r="E619" s="13" t="s">
        <v>1610</v>
      </c>
      <c r="F619" s="13" t="s">
        <v>1611</v>
      </c>
      <c r="G619" s="11" t="s">
        <v>39</v>
      </c>
      <c r="H619" s="11">
        <f>IFERROR(VLOOKUP(G619,Paramètres!$B$6:$F$8,2,FALSE()),"")</f>
        <v>5</v>
      </c>
      <c r="I619" s="13" t="s">
        <v>54</v>
      </c>
      <c r="J619" s="11" t="s">
        <v>55</v>
      </c>
      <c r="K619" s="12">
        <v>46272</v>
      </c>
      <c r="L619" s="12">
        <v>46272</v>
      </c>
      <c r="M619" s="13" t="s">
        <v>75</v>
      </c>
      <c r="N619" s="14" t="s">
        <v>102</v>
      </c>
      <c r="O619" s="12">
        <v>46279</v>
      </c>
      <c r="P619" s="11">
        <f t="shared" si="54"/>
        <v>7</v>
      </c>
      <c r="Q619" s="11" t="str">
        <f t="shared" ca="1" si="55"/>
        <v>-</v>
      </c>
      <c r="R619" s="11">
        <f>IFERROR(VLOOKUP(G619,Paramètres!$B$6:$F$8,3,FALSE()),"")</f>
        <v>2</v>
      </c>
      <c r="S619" s="11" t="str">
        <f t="shared" ca="1" si="56"/>
        <v>-</v>
      </c>
      <c r="T619" s="12">
        <v>46282</v>
      </c>
      <c r="U619" s="11">
        <f t="shared" si="57"/>
        <v>3</v>
      </c>
      <c r="V619" s="11">
        <f t="shared" si="58"/>
        <v>3</v>
      </c>
      <c r="W619" s="11" t="str">
        <f t="shared" si="59"/>
        <v>Hors délais</v>
      </c>
    </row>
    <row r="620" spans="1:23">
      <c r="A620" s="11">
        <v>604</v>
      </c>
      <c r="B620" s="12">
        <v>46272</v>
      </c>
      <c r="C620" s="13" t="s">
        <v>1612</v>
      </c>
      <c r="D620" s="13" t="s">
        <v>175</v>
      </c>
      <c r="E620" s="13" t="s">
        <v>1613</v>
      </c>
      <c r="F620" s="13" t="s">
        <v>1614</v>
      </c>
      <c r="G620" s="11" t="s">
        <v>84</v>
      </c>
      <c r="H620" s="11">
        <f>IFERROR(VLOOKUP(G620,Paramètres!$B$6:$F$8,2,FALSE()),"")</f>
        <v>5</v>
      </c>
      <c r="I620" s="13" t="s">
        <v>232</v>
      </c>
      <c r="J620" s="11" t="s">
        <v>55</v>
      </c>
      <c r="K620" s="12">
        <v>46272</v>
      </c>
      <c r="L620" s="12">
        <v>46273</v>
      </c>
      <c r="M620" s="13" t="s">
        <v>56</v>
      </c>
      <c r="N620" s="14" t="s">
        <v>102</v>
      </c>
      <c r="O620" s="12">
        <v>46281</v>
      </c>
      <c r="P620" s="11">
        <f t="shared" si="54"/>
        <v>9</v>
      </c>
      <c r="Q620" s="11" t="str">
        <f t="shared" ca="1" si="55"/>
        <v>-</v>
      </c>
      <c r="R620" s="11">
        <f>IFERROR(VLOOKUP(G620,Paramètres!$B$6:$F$8,3,FALSE()),"")</f>
        <v>2</v>
      </c>
      <c r="S620" s="11" t="str">
        <f t="shared" ca="1" si="56"/>
        <v>-</v>
      </c>
      <c r="T620" s="12">
        <v>46282</v>
      </c>
      <c r="U620" s="11">
        <f t="shared" si="57"/>
        <v>1</v>
      </c>
      <c r="V620" s="11">
        <f t="shared" si="58"/>
        <v>3</v>
      </c>
      <c r="W620" s="11" t="str">
        <f t="shared" si="59"/>
        <v>Hors délais</v>
      </c>
    </row>
    <row r="621" spans="1:23">
      <c r="A621" s="11">
        <v>605</v>
      </c>
      <c r="B621" s="12">
        <v>46273</v>
      </c>
      <c r="C621" s="13" t="s">
        <v>1615</v>
      </c>
      <c r="D621" s="13" t="s">
        <v>145</v>
      </c>
      <c r="E621" s="13"/>
      <c r="F621" s="13" t="s">
        <v>1616</v>
      </c>
      <c r="G621" s="11" t="s">
        <v>39</v>
      </c>
      <c r="H621" s="11">
        <f>IFERROR(VLOOKUP(G621,Paramètres!$B$6:$F$8,2,FALSE()),"")</f>
        <v>5</v>
      </c>
      <c r="I621" s="13" t="s">
        <v>74</v>
      </c>
      <c r="J621" s="11" t="s">
        <v>41</v>
      </c>
      <c r="K621" s="12">
        <v>46274</v>
      </c>
      <c r="L621" s="12">
        <v>46275</v>
      </c>
      <c r="M621" s="13" t="s">
        <v>61</v>
      </c>
      <c r="N621" s="14" t="s">
        <v>43</v>
      </c>
      <c r="O621" s="12">
        <v>46276</v>
      </c>
      <c r="P621" s="11">
        <f t="shared" si="54"/>
        <v>3</v>
      </c>
      <c r="Q621" s="11" t="str">
        <f t="shared" ca="1" si="55"/>
        <v>-</v>
      </c>
      <c r="R621" s="11">
        <f>IFERROR(VLOOKUP(G621,Paramètres!$B$6:$F$8,3,FALSE()),"")</f>
        <v>2</v>
      </c>
      <c r="S621" s="11" t="str">
        <f t="shared" ca="1" si="56"/>
        <v>-</v>
      </c>
      <c r="T621" s="12">
        <v>46283</v>
      </c>
      <c r="U621" s="11">
        <f t="shared" si="57"/>
        <v>7</v>
      </c>
      <c r="V621" s="11">
        <f t="shared" si="58"/>
        <v>3</v>
      </c>
      <c r="W621" s="11" t="str">
        <f t="shared" si="59"/>
        <v>Hors délais</v>
      </c>
    </row>
    <row r="622" spans="1:23">
      <c r="A622" s="11">
        <v>606</v>
      </c>
      <c r="B622" s="12">
        <v>46273</v>
      </c>
      <c r="C622" s="13" t="s">
        <v>1617</v>
      </c>
      <c r="D622" s="13" t="s">
        <v>230</v>
      </c>
      <c r="E622" s="13"/>
      <c r="F622" s="13" t="s">
        <v>1618</v>
      </c>
      <c r="G622" s="11" t="s">
        <v>39</v>
      </c>
      <c r="H622" s="11">
        <f>IFERROR(VLOOKUP(G622,Paramètres!$B$6:$F$8,2,FALSE()),"")</f>
        <v>5</v>
      </c>
      <c r="I622" s="13" t="s">
        <v>185</v>
      </c>
      <c r="J622" s="11" t="s">
        <v>48</v>
      </c>
      <c r="K622" s="12">
        <v>46273</v>
      </c>
      <c r="L622" s="12">
        <v>46274</v>
      </c>
      <c r="M622" s="13" t="s">
        <v>86</v>
      </c>
      <c r="N622" s="14" t="s">
        <v>186</v>
      </c>
      <c r="O622" s="12">
        <v>46280</v>
      </c>
      <c r="P622" s="11">
        <f t="shared" si="54"/>
        <v>7</v>
      </c>
      <c r="Q622" s="11" t="str">
        <f t="shared" ca="1" si="55"/>
        <v>-</v>
      </c>
      <c r="R622" s="11">
        <f>IFERROR(VLOOKUP(G622,Paramètres!$B$6:$F$8,3,FALSE()),"")</f>
        <v>2</v>
      </c>
      <c r="S622" s="11" t="str">
        <f t="shared" ca="1" si="56"/>
        <v>-</v>
      </c>
      <c r="T622" s="12">
        <v>46287</v>
      </c>
      <c r="U622" s="11">
        <f t="shared" si="57"/>
        <v>7</v>
      </c>
      <c r="V622" s="11">
        <f t="shared" si="58"/>
        <v>7</v>
      </c>
      <c r="W622" s="11" t="str">
        <f t="shared" si="59"/>
        <v>Hors délais</v>
      </c>
    </row>
    <row r="623" spans="1:23">
      <c r="A623" s="11">
        <v>607</v>
      </c>
      <c r="B623" s="12">
        <v>46273</v>
      </c>
      <c r="C623" s="13" t="s">
        <v>1619</v>
      </c>
      <c r="D623" s="13" t="s">
        <v>59</v>
      </c>
      <c r="E623" s="13" t="s">
        <v>1620</v>
      </c>
      <c r="F623" s="13" t="s">
        <v>1621</v>
      </c>
      <c r="G623" s="11" t="s">
        <v>39</v>
      </c>
      <c r="H623" s="11">
        <f>IFERROR(VLOOKUP(G623,Paramètres!$B$6:$F$8,2,FALSE()),"")</f>
        <v>5</v>
      </c>
      <c r="I623" s="13" t="s">
        <v>155</v>
      </c>
      <c r="J623" s="11" t="s">
        <v>48</v>
      </c>
      <c r="K623" s="12">
        <v>46273</v>
      </c>
      <c r="L623" s="12">
        <v>46274</v>
      </c>
      <c r="M623" s="13"/>
      <c r="N623" s="14" t="s">
        <v>121</v>
      </c>
      <c r="O623" s="12">
        <v>46275</v>
      </c>
      <c r="P623" s="11">
        <f t="shared" si="54"/>
        <v>2</v>
      </c>
      <c r="Q623" s="11" t="str">
        <f t="shared" ca="1" si="55"/>
        <v>-</v>
      </c>
      <c r="R623" s="11">
        <f>IFERROR(VLOOKUP(G623,Paramètres!$B$6:$F$8,3,FALSE()),"")</f>
        <v>2</v>
      </c>
      <c r="S623" s="11" t="str">
        <f t="shared" ca="1" si="56"/>
        <v>-</v>
      </c>
      <c r="T623" s="12">
        <v>46276</v>
      </c>
      <c r="U623" s="11">
        <f t="shared" si="57"/>
        <v>1</v>
      </c>
      <c r="V623" s="11">
        <f t="shared" si="58"/>
        <v>-4</v>
      </c>
      <c r="W623" s="11" t="str">
        <f t="shared" si="59"/>
        <v>Dans les délais</v>
      </c>
    </row>
    <row r="624" spans="1:23">
      <c r="A624" s="11">
        <v>608</v>
      </c>
      <c r="B624" s="12">
        <v>46273</v>
      </c>
      <c r="C624" s="13" t="s">
        <v>1622</v>
      </c>
      <c r="D624" s="13" t="s">
        <v>137</v>
      </c>
      <c r="E624" s="13" t="s">
        <v>1623</v>
      </c>
      <c r="F624" s="13" t="s">
        <v>1624</v>
      </c>
      <c r="G624" s="11" t="s">
        <v>39</v>
      </c>
      <c r="H624" s="11">
        <f>IFERROR(VLOOKUP(G624,Paramètres!$B$6:$F$8,2,FALSE()),"")</f>
        <v>5</v>
      </c>
      <c r="I624" s="13" t="s">
        <v>190</v>
      </c>
      <c r="J624" s="11" t="s">
        <v>48</v>
      </c>
      <c r="K624" s="12">
        <v>46273</v>
      </c>
      <c r="L624" s="12">
        <v>46273</v>
      </c>
      <c r="M624" s="13" t="s">
        <v>56</v>
      </c>
      <c r="N624" s="14" t="s">
        <v>186</v>
      </c>
      <c r="O624" s="12">
        <v>46279</v>
      </c>
      <c r="P624" s="11">
        <f t="shared" si="54"/>
        <v>6</v>
      </c>
      <c r="Q624" s="11" t="str">
        <f t="shared" ca="1" si="55"/>
        <v>-</v>
      </c>
      <c r="R624" s="11">
        <f>IFERROR(VLOOKUP(G624,Paramètres!$B$6:$F$8,3,FALSE()),"")</f>
        <v>2</v>
      </c>
      <c r="S624" s="11" t="str">
        <f t="shared" ca="1" si="56"/>
        <v>-</v>
      </c>
      <c r="T624" s="12">
        <v>46282</v>
      </c>
      <c r="U624" s="11">
        <f t="shared" si="57"/>
        <v>3</v>
      </c>
      <c r="V624" s="11">
        <f t="shared" si="58"/>
        <v>2</v>
      </c>
      <c r="W624" s="11" t="str">
        <f t="shared" si="59"/>
        <v>Hors délais</v>
      </c>
    </row>
    <row r="625" spans="1:23">
      <c r="A625" s="11">
        <v>609</v>
      </c>
      <c r="B625" s="12">
        <v>46273</v>
      </c>
      <c r="C625" s="13" t="s">
        <v>1625</v>
      </c>
      <c r="D625" s="13" t="s">
        <v>178</v>
      </c>
      <c r="E625" s="13"/>
      <c r="F625" s="13" t="s">
        <v>1626</v>
      </c>
      <c r="G625" s="11" t="s">
        <v>84</v>
      </c>
      <c r="H625" s="11">
        <f>IFERROR(VLOOKUP(G625,Paramètres!$B$6:$F$8,2,FALSE()),"")</f>
        <v>5</v>
      </c>
      <c r="I625" s="13" t="s">
        <v>185</v>
      </c>
      <c r="J625" s="11" t="s">
        <v>48</v>
      </c>
      <c r="K625" s="12">
        <v>46274</v>
      </c>
      <c r="L625" s="12">
        <v>46275</v>
      </c>
      <c r="M625" s="13" t="s">
        <v>42</v>
      </c>
      <c r="N625" s="14" t="s">
        <v>50</v>
      </c>
      <c r="O625" s="12">
        <v>46279</v>
      </c>
      <c r="P625" s="11">
        <f t="shared" si="54"/>
        <v>6</v>
      </c>
      <c r="Q625" s="11" t="str">
        <f t="shared" ca="1" si="55"/>
        <v>-</v>
      </c>
      <c r="R625" s="11">
        <f>IFERROR(VLOOKUP(G625,Paramètres!$B$6:$F$8,3,FALSE()),"")</f>
        <v>2</v>
      </c>
      <c r="S625" s="11" t="str">
        <f t="shared" ca="1" si="56"/>
        <v>-</v>
      </c>
      <c r="T625" s="12">
        <v>46286</v>
      </c>
      <c r="U625" s="11">
        <f t="shared" si="57"/>
        <v>7</v>
      </c>
      <c r="V625" s="11">
        <f t="shared" si="58"/>
        <v>6</v>
      </c>
      <c r="W625" s="11" t="str">
        <f t="shared" si="59"/>
        <v>Hors délais</v>
      </c>
    </row>
    <row r="626" spans="1:23">
      <c r="A626" s="11">
        <v>610</v>
      </c>
      <c r="B626" s="12">
        <v>46273</v>
      </c>
      <c r="C626" s="13" t="s">
        <v>1627</v>
      </c>
      <c r="D626" s="13" t="s">
        <v>145</v>
      </c>
      <c r="E626" s="13"/>
      <c r="F626" s="13" t="s">
        <v>1628</v>
      </c>
      <c r="G626" s="11" t="s">
        <v>39</v>
      </c>
      <c r="H626" s="11">
        <f>IFERROR(VLOOKUP(G626,Paramètres!$B$6:$F$8,2,FALSE()),"")</f>
        <v>5</v>
      </c>
      <c r="I626" s="13" t="s">
        <v>155</v>
      </c>
      <c r="J626" s="11" t="s">
        <v>48</v>
      </c>
      <c r="K626" s="12">
        <v>46274</v>
      </c>
      <c r="L626" s="12">
        <v>46274</v>
      </c>
      <c r="M626" s="13"/>
      <c r="N626" s="14" t="s">
        <v>186</v>
      </c>
      <c r="O626" s="12">
        <v>46275</v>
      </c>
      <c r="P626" s="11">
        <f t="shared" si="54"/>
        <v>2</v>
      </c>
      <c r="Q626" s="11" t="str">
        <f t="shared" ca="1" si="55"/>
        <v>-</v>
      </c>
      <c r="R626" s="11">
        <f>IFERROR(VLOOKUP(G626,Paramètres!$B$6:$F$8,3,FALSE()),"")</f>
        <v>2</v>
      </c>
      <c r="S626" s="11" t="str">
        <f t="shared" ca="1" si="56"/>
        <v>-</v>
      </c>
      <c r="T626" s="12">
        <v>46276</v>
      </c>
      <c r="U626" s="11">
        <f t="shared" si="57"/>
        <v>1</v>
      </c>
      <c r="V626" s="11">
        <f t="shared" si="58"/>
        <v>-4</v>
      </c>
      <c r="W626" s="11" t="str">
        <f t="shared" si="59"/>
        <v>Dans les délais</v>
      </c>
    </row>
    <row r="627" spans="1:23">
      <c r="A627" s="11">
        <v>611</v>
      </c>
      <c r="B627" s="12">
        <v>46274</v>
      </c>
      <c r="C627" s="13" t="s">
        <v>1629</v>
      </c>
      <c r="D627" s="13" t="s">
        <v>115</v>
      </c>
      <c r="E627" s="13" t="s">
        <v>1630</v>
      </c>
      <c r="F627" s="13" t="s">
        <v>1631</v>
      </c>
      <c r="G627" s="11" t="s">
        <v>39</v>
      </c>
      <c r="H627" s="11">
        <f>IFERROR(VLOOKUP(G627,Paramètres!$B$6:$F$8,2,FALSE()),"")</f>
        <v>5</v>
      </c>
      <c r="I627" s="13" t="s">
        <v>85</v>
      </c>
      <c r="J627" s="11" t="s">
        <v>41</v>
      </c>
      <c r="K627" s="12">
        <v>46274</v>
      </c>
      <c r="L627" s="12">
        <v>46274</v>
      </c>
      <c r="M627" s="13" t="s">
        <v>49</v>
      </c>
      <c r="N627" s="14" t="s">
        <v>87</v>
      </c>
      <c r="O627" s="12">
        <v>46279</v>
      </c>
      <c r="P627" s="11">
        <f t="shared" si="54"/>
        <v>5</v>
      </c>
      <c r="Q627" s="11" t="str">
        <f t="shared" ca="1" si="55"/>
        <v>-</v>
      </c>
      <c r="R627" s="11">
        <f>IFERROR(VLOOKUP(G627,Paramètres!$B$6:$F$8,3,FALSE()),"")</f>
        <v>2</v>
      </c>
      <c r="S627" s="11" t="str">
        <f t="shared" ca="1" si="56"/>
        <v>-</v>
      </c>
      <c r="T627" s="12">
        <v>46280</v>
      </c>
      <c r="U627" s="11">
        <f t="shared" si="57"/>
        <v>1</v>
      </c>
      <c r="V627" s="11">
        <f t="shared" si="58"/>
        <v>-1</v>
      </c>
      <c r="W627" s="11" t="str">
        <f t="shared" si="59"/>
        <v>Dans les délais</v>
      </c>
    </row>
    <row r="628" spans="1:23">
      <c r="A628" s="11">
        <v>612</v>
      </c>
      <c r="B628" s="12">
        <v>46274</v>
      </c>
      <c r="C628" s="13" t="s">
        <v>1632</v>
      </c>
      <c r="D628" s="13" t="s">
        <v>230</v>
      </c>
      <c r="E628" s="13"/>
      <c r="F628" s="13" t="s">
        <v>1633</v>
      </c>
      <c r="G628" s="11" t="s">
        <v>39</v>
      </c>
      <c r="H628" s="11">
        <f>IFERROR(VLOOKUP(G628,Paramètres!$B$6:$F$8,2,FALSE()),"")</f>
        <v>5</v>
      </c>
      <c r="I628" s="13" t="s">
        <v>91</v>
      </c>
      <c r="J628" s="11" t="s">
        <v>41</v>
      </c>
      <c r="K628" s="12">
        <v>46275</v>
      </c>
      <c r="L628" s="12">
        <v>46276</v>
      </c>
      <c r="M628" s="13" t="s">
        <v>61</v>
      </c>
      <c r="N628" s="14" t="s">
        <v>43</v>
      </c>
      <c r="O628" s="12">
        <v>46276</v>
      </c>
      <c r="P628" s="11">
        <f t="shared" si="54"/>
        <v>2</v>
      </c>
      <c r="Q628" s="11" t="str">
        <f t="shared" ca="1" si="55"/>
        <v>-</v>
      </c>
      <c r="R628" s="11">
        <f>IFERROR(VLOOKUP(G628,Paramètres!$B$6:$F$8,3,FALSE()),"")</f>
        <v>2</v>
      </c>
      <c r="S628" s="11" t="str">
        <f t="shared" ca="1" si="56"/>
        <v>-</v>
      </c>
      <c r="T628" s="12">
        <v>46279</v>
      </c>
      <c r="U628" s="11">
        <f t="shared" si="57"/>
        <v>3</v>
      </c>
      <c r="V628" s="11">
        <f t="shared" si="58"/>
        <v>-2</v>
      </c>
      <c r="W628" s="11" t="str">
        <f t="shared" si="59"/>
        <v>Dans les délais</v>
      </c>
    </row>
    <row r="629" spans="1:23">
      <c r="A629" s="11">
        <v>613</v>
      </c>
      <c r="B629" s="12">
        <v>46274</v>
      </c>
      <c r="C629" s="13" t="s">
        <v>1634</v>
      </c>
      <c r="D629" s="13" t="s">
        <v>123</v>
      </c>
      <c r="E629" s="13"/>
      <c r="F629" s="13" t="s">
        <v>1635</v>
      </c>
      <c r="G629" s="11" t="s">
        <v>53</v>
      </c>
      <c r="H629" s="11" t="str">
        <f>IFERROR(VLOOKUP(G629,Paramètres!$B$6:$F$8,2,FALSE()),"")</f>
        <v>N/A</v>
      </c>
      <c r="I629" s="13" t="s">
        <v>168</v>
      </c>
      <c r="J629" s="11" t="s">
        <v>48</v>
      </c>
      <c r="K629" s="12">
        <v>46274</v>
      </c>
      <c r="L629" s="12">
        <v>46274</v>
      </c>
      <c r="M629" s="13" t="s">
        <v>61</v>
      </c>
      <c r="N629" s="14" t="s">
        <v>50</v>
      </c>
      <c r="O629" s="12"/>
      <c r="P629" s="11" t="str">
        <f t="shared" si="54"/>
        <v>-</v>
      </c>
      <c r="Q629" s="11" t="str">
        <f t="shared" ca="1" si="55"/>
        <v>-</v>
      </c>
      <c r="R629" s="11" t="str">
        <f>IFERROR(VLOOKUP(G629,Paramètres!$B$6:$F$8,3,FALSE()),"")</f>
        <v>N/A</v>
      </c>
      <c r="S629" s="11" t="str">
        <f t="shared" ca="1" si="56"/>
        <v>-</v>
      </c>
      <c r="T629" s="12"/>
      <c r="U629" s="11" t="str">
        <f t="shared" si="57"/>
        <v>-</v>
      </c>
      <c r="V629" s="11" t="str">
        <f t="shared" si="58"/>
        <v>-</v>
      </c>
      <c r="W629" s="11" t="str">
        <f t="shared" si="59"/>
        <v>Ne nécessite pas de réponse</v>
      </c>
    </row>
    <row r="630" spans="1:23" ht="28.5">
      <c r="A630" s="11">
        <v>614</v>
      </c>
      <c r="B630" s="12">
        <v>46274</v>
      </c>
      <c r="C630" s="13" t="s">
        <v>1636</v>
      </c>
      <c r="D630" s="13" t="s">
        <v>37</v>
      </c>
      <c r="E630" s="13" t="s">
        <v>1637</v>
      </c>
      <c r="F630" s="13" t="s">
        <v>1638</v>
      </c>
      <c r="G630" s="11" t="s">
        <v>39</v>
      </c>
      <c r="H630" s="11">
        <f>IFERROR(VLOOKUP(G630,Paramètres!$B$6:$F$8,2,FALSE()),"")</f>
        <v>5</v>
      </c>
      <c r="I630" s="13" t="s">
        <v>98</v>
      </c>
      <c r="J630" s="11" t="s">
        <v>41</v>
      </c>
      <c r="K630" s="12">
        <v>46274</v>
      </c>
      <c r="L630" s="12">
        <v>46275</v>
      </c>
      <c r="M630" s="13" t="s">
        <v>75</v>
      </c>
      <c r="N630" s="14" t="s">
        <v>76</v>
      </c>
      <c r="O630" s="12">
        <v>46283</v>
      </c>
      <c r="P630" s="11">
        <f t="shared" si="54"/>
        <v>9</v>
      </c>
      <c r="Q630" s="11" t="str">
        <f t="shared" ca="1" si="55"/>
        <v>-</v>
      </c>
      <c r="R630" s="11">
        <f>IFERROR(VLOOKUP(G630,Paramètres!$B$6:$F$8,3,FALSE()),"")</f>
        <v>2</v>
      </c>
      <c r="S630" s="11" t="str">
        <f t="shared" ca="1" si="56"/>
        <v>-</v>
      </c>
      <c r="T630" s="12">
        <v>46290</v>
      </c>
      <c r="U630" s="11">
        <f t="shared" si="57"/>
        <v>7</v>
      </c>
      <c r="V630" s="11">
        <f t="shared" si="58"/>
        <v>9</v>
      </c>
      <c r="W630" s="11" t="str">
        <f t="shared" si="59"/>
        <v>Hors délais</v>
      </c>
    </row>
    <row r="631" spans="1:23">
      <c r="A631" s="11">
        <v>615</v>
      </c>
      <c r="B631" s="12">
        <v>46275</v>
      </c>
      <c r="C631" s="13" t="s">
        <v>1639</v>
      </c>
      <c r="D631" s="13" t="s">
        <v>104</v>
      </c>
      <c r="E631" s="13"/>
      <c r="F631" s="13" t="s">
        <v>1640</v>
      </c>
      <c r="G631" s="11" t="s">
        <v>53</v>
      </c>
      <c r="H631" s="11" t="str">
        <f>IFERROR(VLOOKUP(G631,Paramètres!$B$6:$F$8,2,FALSE()),"")</f>
        <v>N/A</v>
      </c>
      <c r="I631" s="13" t="s">
        <v>91</v>
      </c>
      <c r="J631" s="11" t="s">
        <v>41</v>
      </c>
      <c r="K631" s="12">
        <v>46275</v>
      </c>
      <c r="L631" s="12">
        <v>46275</v>
      </c>
      <c r="M631" s="13" t="s">
        <v>49</v>
      </c>
      <c r="N631" s="14" t="s">
        <v>43</v>
      </c>
      <c r="O631" s="12"/>
      <c r="P631" s="11" t="str">
        <f t="shared" si="54"/>
        <v>-</v>
      </c>
      <c r="Q631" s="11" t="str">
        <f t="shared" ca="1" si="55"/>
        <v>-</v>
      </c>
      <c r="R631" s="11" t="str">
        <f>IFERROR(VLOOKUP(G631,Paramètres!$B$6:$F$8,3,FALSE()),"")</f>
        <v>N/A</v>
      </c>
      <c r="S631" s="11" t="str">
        <f t="shared" ca="1" si="56"/>
        <v>-</v>
      </c>
      <c r="T631" s="12"/>
      <c r="U631" s="11" t="str">
        <f t="shared" si="57"/>
        <v>-</v>
      </c>
      <c r="V631" s="11" t="str">
        <f t="shared" si="58"/>
        <v>-</v>
      </c>
      <c r="W631" s="11" t="str">
        <f t="shared" si="59"/>
        <v>Ne nécessite pas de réponse</v>
      </c>
    </row>
    <row r="632" spans="1:23">
      <c r="A632" s="11">
        <v>616</v>
      </c>
      <c r="B632" s="12">
        <v>46275</v>
      </c>
      <c r="C632" s="13" t="s">
        <v>1641</v>
      </c>
      <c r="D632" s="13" t="s">
        <v>248</v>
      </c>
      <c r="E632" s="13"/>
      <c r="F632" s="13" t="s">
        <v>1642</v>
      </c>
      <c r="G632" s="11" t="s">
        <v>53</v>
      </c>
      <c r="H632" s="11" t="str">
        <f>IFERROR(VLOOKUP(G632,Paramètres!$B$6:$F$8,2,FALSE()),"")</f>
        <v>N/A</v>
      </c>
      <c r="I632" s="13" t="s">
        <v>155</v>
      </c>
      <c r="J632" s="11" t="s">
        <v>48</v>
      </c>
      <c r="K632" s="12">
        <v>46276</v>
      </c>
      <c r="L632" s="12">
        <v>46276</v>
      </c>
      <c r="M632" s="13"/>
      <c r="N632" s="14" t="s">
        <v>50</v>
      </c>
      <c r="O632" s="12"/>
      <c r="P632" s="11" t="str">
        <f t="shared" si="54"/>
        <v>-</v>
      </c>
      <c r="Q632" s="11" t="str">
        <f t="shared" ca="1" si="55"/>
        <v>-</v>
      </c>
      <c r="R632" s="11" t="str">
        <f>IFERROR(VLOOKUP(G632,Paramètres!$B$6:$F$8,3,FALSE()),"")</f>
        <v>N/A</v>
      </c>
      <c r="S632" s="11" t="str">
        <f t="shared" ca="1" si="56"/>
        <v>-</v>
      </c>
      <c r="T632" s="12"/>
      <c r="U632" s="11" t="str">
        <f t="shared" si="57"/>
        <v>-</v>
      </c>
      <c r="V632" s="11" t="str">
        <f t="shared" si="58"/>
        <v>-</v>
      </c>
      <c r="W632" s="11" t="str">
        <f t="shared" si="59"/>
        <v>Ne nécessite pas de réponse</v>
      </c>
    </row>
    <row r="633" spans="1:23">
      <c r="A633" s="11">
        <v>617</v>
      </c>
      <c r="B633" s="12">
        <v>46276</v>
      </c>
      <c r="C633" s="13" t="s">
        <v>1643</v>
      </c>
      <c r="D633" s="13" t="s">
        <v>137</v>
      </c>
      <c r="E633" s="13"/>
      <c r="F633" s="13" t="s">
        <v>1644</v>
      </c>
      <c r="G633" s="11" t="s">
        <v>39</v>
      </c>
      <c r="H633" s="11">
        <f>IFERROR(VLOOKUP(G633,Paramètres!$B$6:$F$8,2,FALSE()),"")</f>
        <v>5</v>
      </c>
      <c r="I633" s="13" t="s">
        <v>228</v>
      </c>
      <c r="J633" s="11" t="s">
        <v>55</v>
      </c>
      <c r="K633" s="12">
        <v>46276</v>
      </c>
      <c r="L633" s="12">
        <v>46279</v>
      </c>
      <c r="M633" s="13" t="s">
        <v>61</v>
      </c>
      <c r="N633" s="14" t="s">
        <v>102</v>
      </c>
      <c r="O633" s="12">
        <v>46286</v>
      </c>
      <c r="P633" s="11">
        <f t="shared" si="54"/>
        <v>10</v>
      </c>
      <c r="Q633" s="11" t="str">
        <f t="shared" ca="1" si="55"/>
        <v>-</v>
      </c>
      <c r="R633" s="11">
        <f>IFERROR(VLOOKUP(G633,Paramètres!$B$6:$F$8,3,FALSE()),"")</f>
        <v>2</v>
      </c>
      <c r="S633" s="11" t="str">
        <f t="shared" ca="1" si="56"/>
        <v>-</v>
      </c>
      <c r="T633" s="12">
        <v>46288</v>
      </c>
      <c r="U633" s="11">
        <f t="shared" si="57"/>
        <v>2</v>
      </c>
      <c r="V633" s="11">
        <f t="shared" si="58"/>
        <v>5</v>
      </c>
      <c r="W633" s="11" t="str">
        <f t="shared" si="59"/>
        <v>Hors délais</v>
      </c>
    </row>
    <row r="634" spans="1:23">
      <c r="A634" s="11">
        <v>618</v>
      </c>
      <c r="B634" s="12">
        <v>46276</v>
      </c>
      <c r="C634" s="13" t="s">
        <v>1645</v>
      </c>
      <c r="D634" s="13" t="s">
        <v>115</v>
      </c>
      <c r="E634" s="13"/>
      <c r="F634" s="13" t="s">
        <v>1646</v>
      </c>
      <c r="G634" s="11" t="s">
        <v>39</v>
      </c>
      <c r="H634" s="11">
        <f>IFERROR(VLOOKUP(G634,Paramètres!$B$6:$F$8,2,FALSE()),"")</f>
        <v>5</v>
      </c>
      <c r="I634" s="13" t="s">
        <v>40</v>
      </c>
      <c r="J634" s="11" t="s">
        <v>41</v>
      </c>
      <c r="K634" s="12">
        <v>46276</v>
      </c>
      <c r="L634" s="12">
        <v>46276</v>
      </c>
      <c r="M634" s="13" t="s">
        <v>42</v>
      </c>
      <c r="N634" s="14" t="s">
        <v>87</v>
      </c>
      <c r="O634" s="12">
        <v>46289</v>
      </c>
      <c r="P634" s="11">
        <f t="shared" si="54"/>
        <v>13</v>
      </c>
      <c r="Q634" s="11" t="str">
        <f t="shared" ca="1" si="55"/>
        <v>-</v>
      </c>
      <c r="R634" s="11">
        <f>IFERROR(VLOOKUP(G634,Paramètres!$B$6:$F$8,3,FALSE()),"")</f>
        <v>2</v>
      </c>
      <c r="S634" s="11" t="str">
        <f t="shared" ca="1" si="56"/>
        <v>-</v>
      </c>
      <c r="T634" s="12">
        <v>46293</v>
      </c>
      <c r="U634" s="11">
        <f t="shared" si="57"/>
        <v>4</v>
      </c>
      <c r="V634" s="11">
        <f t="shared" si="58"/>
        <v>10</v>
      </c>
      <c r="W634" s="11" t="str">
        <f t="shared" si="59"/>
        <v>Hors délais</v>
      </c>
    </row>
    <row r="635" spans="1:23">
      <c r="A635" s="11">
        <v>619</v>
      </c>
      <c r="B635" s="12">
        <v>46279</v>
      </c>
      <c r="C635" s="13" t="s">
        <v>1647</v>
      </c>
      <c r="D635" s="13" t="s">
        <v>89</v>
      </c>
      <c r="E635" s="13"/>
      <c r="F635" s="13" t="s">
        <v>1648</v>
      </c>
      <c r="G635" s="11" t="s">
        <v>39</v>
      </c>
      <c r="H635" s="11">
        <f>IFERROR(VLOOKUP(G635,Paramètres!$B$6:$F$8,2,FALSE()),"")</f>
        <v>5</v>
      </c>
      <c r="I635" s="13" t="s">
        <v>190</v>
      </c>
      <c r="J635" s="11" t="s">
        <v>48</v>
      </c>
      <c r="K635" s="12">
        <v>46279</v>
      </c>
      <c r="L635" s="12">
        <v>46280</v>
      </c>
      <c r="M635" s="13" t="s">
        <v>86</v>
      </c>
      <c r="N635" s="14" t="s">
        <v>50</v>
      </c>
      <c r="O635" s="12">
        <v>46282</v>
      </c>
      <c r="P635" s="11">
        <f t="shared" si="54"/>
        <v>3</v>
      </c>
      <c r="Q635" s="11" t="str">
        <f t="shared" ca="1" si="55"/>
        <v>-</v>
      </c>
      <c r="R635" s="11">
        <f>IFERROR(VLOOKUP(G635,Paramètres!$B$6:$F$8,3,FALSE()),"")</f>
        <v>2</v>
      </c>
      <c r="S635" s="11" t="str">
        <f t="shared" ca="1" si="56"/>
        <v>-</v>
      </c>
      <c r="T635" s="12">
        <v>46283</v>
      </c>
      <c r="U635" s="11">
        <f t="shared" si="57"/>
        <v>1</v>
      </c>
      <c r="V635" s="11">
        <f t="shared" si="58"/>
        <v>-3</v>
      </c>
      <c r="W635" s="11" t="str">
        <f t="shared" si="59"/>
        <v>Dans les délais</v>
      </c>
    </row>
    <row r="636" spans="1:23">
      <c r="A636" s="11">
        <v>620</v>
      </c>
      <c r="B636" s="12">
        <v>46279</v>
      </c>
      <c r="C636" s="13" t="s">
        <v>1649</v>
      </c>
      <c r="D636" s="13" t="s">
        <v>37</v>
      </c>
      <c r="E636" s="13" t="s">
        <v>1650</v>
      </c>
      <c r="F636" s="13" t="s">
        <v>1651</v>
      </c>
      <c r="G636" s="11" t="s">
        <v>39</v>
      </c>
      <c r="H636" s="11">
        <f>IFERROR(VLOOKUP(G636,Paramètres!$B$6:$F$8,2,FALSE()),"")</f>
        <v>5</v>
      </c>
      <c r="I636" s="13" t="s">
        <v>47</v>
      </c>
      <c r="J636" s="11" t="s">
        <v>48</v>
      </c>
      <c r="K636" s="12">
        <v>46280</v>
      </c>
      <c r="L636" s="12">
        <v>46281</v>
      </c>
      <c r="M636" s="13" t="s">
        <v>56</v>
      </c>
      <c r="N636" s="14" t="s">
        <v>186</v>
      </c>
      <c r="O636" s="12">
        <v>46287</v>
      </c>
      <c r="P636" s="11">
        <f t="shared" si="54"/>
        <v>8</v>
      </c>
      <c r="Q636" s="11" t="str">
        <f t="shared" ca="1" si="55"/>
        <v>-</v>
      </c>
      <c r="R636" s="11">
        <f>IFERROR(VLOOKUP(G636,Paramètres!$B$6:$F$8,3,FALSE()),"")</f>
        <v>2</v>
      </c>
      <c r="S636" s="11" t="str">
        <f t="shared" ca="1" si="56"/>
        <v>-</v>
      </c>
      <c r="T636" s="12">
        <v>46289</v>
      </c>
      <c r="U636" s="11">
        <f t="shared" si="57"/>
        <v>2</v>
      </c>
      <c r="V636" s="11">
        <f t="shared" si="58"/>
        <v>3</v>
      </c>
      <c r="W636" s="11" t="str">
        <f t="shared" si="59"/>
        <v>Hors délais</v>
      </c>
    </row>
    <row r="637" spans="1:23">
      <c r="A637" s="11">
        <v>621</v>
      </c>
      <c r="B637" s="12">
        <v>46280</v>
      </c>
      <c r="C637" s="13" t="s">
        <v>1652</v>
      </c>
      <c r="D637" s="13" t="s">
        <v>230</v>
      </c>
      <c r="E637" s="13" t="s">
        <v>1653</v>
      </c>
      <c r="F637" s="13" t="s">
        <v>1654</v>
      </c>
      <c r="G637" s="11" t="s">
        <v>39</v>
      </c>
      <c r="H637" s="11">
        <f>IFERROR(VLOOKUP(G637,Paramètres!$B$6:$F$8,2,FALSE()),"")</f>
        <v>5</v>
      </c>
      <c r="I637" s="13" t="s">
        <v>85</v>
      </c>
      <c r="J637" s="11" t="s">
        <v>41</v>
      </c>
      <c r="K637" s="12">
        <v>46280</v>
      </c>
      <c r="L637" s="12">
        <v>46280</v>
      </c>
      <c r="M637" s="13" t="s">
        <v>61</v>
      </c>
      <c r="N637" s="14" t="s">
        <v>43</v>
      </c>
      <c r="O637" s="12">
        <v>46293</v>
      </c>
      <c r="P637" s="11">
        <f t="shared" si="54"/>
        <v>13</v>
      </c>
      <c r="Q637" s="11" t="str">
        <f t="shared" ca="1" si="55"/>
        <v>-</v>
      </c>
      <c r="R637" s="11">
        <f>IFERROR(VLOOKUP(G637,Paramètres!$B$6:$F$8,3,FALSE()),"")</f>
        <v>2</v>
      </c>
      <c r="S637" s="11" t="str">
        <f t="shared" ca="1" si="56"/>
        <v>-</v>
      </c>
      <c r="T637" s="12">
        <v>46296</v>
      </c>
      <c r="U637" s="11">
        <f t="shared" si="57"/>
        <v>3</v>
      </c>
      <c r="V637" s="11">
        <f t="shared" si="58"/>
        <v>9</v>
      </c>
      <c r="W637" s="11" t="str">
        <f t="shared" si="59"/>
        <v>Hors délais</v>
      </c>
    </row>
    <row r="638" spans="1:23">
      <c r="A638" s="11">
        <v>622</v>
      </c>
      <c r="B638" s="12">
        <v>46280</v>
      </c>
      <c r="C638" s="13" t="s">
        <v>1655</v>
      </c>
      <c r="D638" s="13" t="s">
        <v>118</v>
      </c>
      <c r="E638" s="13"/>
      <c r="F638" s="13" t="s">
        <v>1656</v>
      </c>
      <c r="G638" s="11" t="s">
        <v>39</v>
      </c>
      <c r="H638" s="11">
        <f>IFERROR(VLOOKUP(G638,Paramètres!$B$6:$F$8,2,FALSE()),"")</f>
        <v>5</v>
      </c>
      <c r="I638" s="13" t="s">
        <v>65</v>
      </c>
      <c r="J638" s="11" t="s">
        <v>55</v>
      </c>
      <c r="K638" s="12">
        <v>46281</v>
      </c>
      <c r="L638" s="12">
        <v>46281</v>
      </c>
      <c r="M638" s="13" t="s">
        <v>86</v>
      </c>
      <c r="N638" s="14" t="s">
        <v>102</v>
      </c>
      <c r="O638" s="12">
        <v>46283</v>
      </c>
      <c r="P638" s="11">
        <f t="shared" si="54"/>
        <v>3</v>
      </c>
      <c r="Q638" s="11" t="str">
        <f t="shared" ca="1" si="55"/>
        <v>-</v>
      </c>
      <c r="R638" s="11">
        <f>IFERROR(VLOOKUP(G638,Paramètres!$B$6:$F$8,3,FALSE()),"")</f>
        <v>2</v>
      </c>
      <c r="S638" s="11" t="str">
        <f t="shared" ca="1" si="56"/>
        <v>-</v>
      </c>
      <c r="T638" s="12">
        <v>46286</v>
      </c>
      <c r="U638" s="11">
        <f t="shared" si="57"/>
        <v>3</v>
      </c>
      <c r="V638" s="11">
        <f t="shared" si="58"/>
        <v>-1</v>
      </c>
      <c r="W638" s="11" t="str">
        <f t="shared" si="59"/>
        <v>Dans les délais</v>
      </c>
    </row>
    <row r="639" spans="1:23">
      <c r="A639" s="11">
        <v>623</v>
      </c>
      <c r="B639" s="12">
        <v>46280</v>
      </c>
      <c r="C639" s="13" t="s">
        <v>1657</v>
      </c>
      <c r="D639" s="13" t="s">
        <v>89</v>
      </c>
      <c r="E639" s="13" t="s">
        <v>1658</v>
      </c>
      <c r="F639" s="13" t="s">
        <v>1659</v>
      </c>
      <c r="G639" s="11" t="s">
        <v>39</v>
      </c>
      <c r="H639" s="11">
        <f>IFERROR(VLOOKUP(G639,Paramètres!$B$6:$F$8,2,FALSE()),"")</f>
        <v>5</v>
      </c>
      <c r="I639" s="13" t="s">
        <v>40</v>
      </c>
      <c r="J639" s="11" t="s">
        <v>41</v>
      </c>
      <c r="K639" s="12">
        <v>46280</v>
      </c>
      <c r="L639" s="12">
        <v>46280</v>
      </c>
      <c r="M639" s="13"/>
      <c r="N639" s="14" t="s">
        <v>87</v>
      </c>
      <c r="O639" s="12">
        <v>46289</v>
      </c>
      <c r="P639" s="11">
        <f t="shared" si="54"/>
        <v>9</v>
      </c>
      <c r="Q639" s="11" t="str">
        <f t="shared" ca="1" si="55"/>
        <v>-</v>
      </c>
      <c r="R639" s="11">
        <f>IFERROR(VLOOKUP(G639,Paramètres!$B$6:$F$8,3,FALSE()),"")</f>
        <v>2</v>
      </c>
      <c r="S639" s="11" t="str">
        <f t="shared" ca="1" si="56"/>
        <v>-</v>
      </c>
      <c r="T639" s="12">
        <v>46290</v>
      </c>
      <c r="U639" s="11">
        <f t="shared" si="57"/>
        <v>1</v>
      </c>
      <c r="V639" s="11">
        <f t="shared" si="58"/>
        <v>3</v>
      </c>
      <c r="W639" s="11" t="str">
        <f t="shared" si="59"/>
        <v>Hors délais</v>
      </c>
    </row>
    <row r="640" spans="1:23" ht="28.5">
      <c r="A640" s="11">
        <v>624</v>
      </c>
      <c r="B640" s="12">
        <v>46280</v>
      </c>
      <c r="C640" s="13" t="s">
        <v>1660</v>
      </c>
      <c r="D640" s="13" t="s">
        <v>63</v>
      </c>
      <c r="E640" s="13" t="s">
        <v>1661</v>
      </c>
      <c r="F640" s="13" t="s">
        <v>1662</v>
      </c>
      <c r="G640" s="11" t="s">
        <v>84</v>
      </c>
      <c r="H640" s="11">
        <f>IFERROR(VLOOKUP(G640,Paramètres!$B$6:$F$8,2,FALSE()),"")</f>
        <v>5</v>
      </c>
      <c r="I640" s="13" t="s">
        <v>74</v>
      </c>
      <c r="J640" s="11" t="s">
        <v>41</v>
      </c>
      <c r="K640" s="12">
        <v>46281</v>
      </c>
      <c r="L640" s="12">
        <v>46281</v>
      </c>
      <c r="M640" s="13" t="s">
        <v>75</v>
      </c>
      <c r="N640" s="14" t="s">
        <v>43</v>
      </c>
      <c r="O640" s="12">
        <v>46286</v>
      </c>
      <c r="P640" s="11">
        <f t="shared" si="54"/>
        <v>6</v>
      </c>
      <c r="Q640" s="11" t="str">
        <f t="shared" ca="1" si="55"/>
        <v>-</v>
      </c>
      <c r="R640" s="11">
        <f>IFERROR(VLOOKUP(G640,Paramètres!$B$6:$F$8,3,FALSE()),"")</f>
        <v>2</v>
      </c>
      <c r="S640" s="11" t="str">
        <f t="shared" ca="1" si="56"/>
        <v>-</v>
      </c>
      <c r="T640" s="12">
        <v>46289</v>
      </c>
      <c r="U640" s="11">
        <f t="shared" si="57"/>
        <v>3</v>
      </c>
      <c r="V640" s="11">
        <f t="shared" si="58"/>
        <v>2</v>
      </c>
      <c r="W640" s="11" t="str">
        <f t="shared" si="59"/>
        <v>Hors délais</v>
      </c>
    </row>
    <row r="641" spans="1:23" ht="28.5">
      <c r="A641" s="11">
        <v>625</v>
      </c>
      <c r="B641" s="12">
        <v>46281</v>
      </c>
      <c r="C641" s="13" t="s">
        <v>1663</v>
      </c>
      <c r="D641" s="13" t="s">
        <v>45</v>
      </c>
      <c r="E641" s="13" t="s">
        <v>1664</v>
      </c>
      <c r="F641" s="13" t="s">
        <v>1665</v>
      </c>
      <c r="G641" s="11" t="s">
        <v>39</v>
      </c>
      <c r="H641" s="11">
        <f>IFERROR(VLOOKUP(G641,Paramètres!$B$6:$F$8,2,FALSE()),"")</f>
        <v>5</v>
      </c>
      <c r="I641" s="13" t="s">
        <v>98</v>
      </c>
      <c r="J641" s="11" t="s">
        <v>41</v>
      </c>
      <c r="K641" s="12">
        <v>46281</v>
      </c>
      <c r="L641" s="12">
        <v>46282</v>
      </c>
      <c r="M641" s="13" t="s">
        <v>75</v>
      </c>
      <c r="N641" s="14" t="s">
        <v>43</v>
      </c>
      <c r="O641" s="12">
        <v>46290</v>
      </c>
      <c r="P641" s="11">
        <f t="shared" si="54"/>
        <v>9</v>
      </c>
      <c r="Q641" s="11" t="str">
        <f t="shared" ca="1" si="55"/>
        <v>-</v>
      </c>
      <c r="R641" s="11">
        <f>IFERROR(VLOOKUP(G641,Paramètres!$B$6:$F$8,3,FALSE()),"")</f>
        <v>2</v>
      </c>
      <c r="S641" s="11" t="str">
        <f t="shared" ca="1" si="56"/>
        <v>-</v>
      </c>
      <c r="T641" s="12">
        <v>46290</v>
      </c>
      <c r="U641" s="11">
        <f t="shared" si="57"/>
        <v>0</v>
      </c>
      <c r="V641" s="11">
        <f t="shared" si="58"/>
        <v>2</v>
      </c>
      <c r="W641" s="11" t="str">
        <f t="shared" si="59"/>
        <v>Hors délais</v>
      </c>
    </row>
    <row r="642" spans="1:23">
      <c r="A642" s="11">
        <v>626</v>
      </c>
      <c r="B642" s="12">
        <v>46281</v>
      </c>
      <c r="C642" s="13" t="s">
        <v>1666</v>
      </c>
      <c r="D642" s="13" t="s">
        <v>100</v>
      </c>
      <c r="E642" s="13" t="s">
        <v>1667</v>
      </c>
      <c r="F642" s="13" t="s">
        <v>1668</v>
      </c>
      <c r="G642" s="11" t="s">
        <v>39</v>
      </c>
      <c r="H642" s="11">
        <f>IFERROR(VLOOKUP(G642,Paramètres!$B$6:$F$8,2,FALSE()),"")</f>
        <v>5</v>
      </c>
      <c r="I642" s="13" t="s">
        <v>168</v>
      </c>
      <c r="J642" s="11" t="s">
        <v>48</v>
      </c>
      <c r="K642" s="12">
        <v>46281</v>
      </c>
      <c r="L642" s="12">
        <v>46281</v>
      </c>
      <c r="M642" s="13"/>
      <c r="N642" s="14" t="s">
        <v>50</v>
      </c>
      <c r="O642" s="12">
        <v>46286</v>
      </c>
      <c r="P642" s="11">
        <f t="shared" si="54"/>
        <v>5</v>
      </c>
      <c r="Q642" s="11" t="str">
        <f t="shared" ca="1" si="55"/>
        <v>-</v>
      </c>
      <c r="R642" s="11">
        <f>IFERROR(VLOOKUP(G642,Paramètres!$B$6:$F$8,3,FALSE()),"")</f>
        <v>2</v>
      </c>
      <c r="S642" s="11" t="str">
        <f t="shared" ca="1" si="56"/>
        <v>-</v>
      </c>
      <c r="T642" s="12">
        <v>46288</v>
      </c>
      <c r="U642" s="11">
        <f t="shared" si="57"/>
        <v>2</v>
      </c>
      <c r="V642" s="11">
        <f t="shared" si="58"/>
        <v>0</v>
      </c>
      <c r="W642" s="11" t="str">
        <f t="shared" si="59"/>
        <v>Dans les délais</v>
      </c>
    </row>
    <row r="643" spans="1:23">
      <c r="A643" s="11">
        <v>627</v>
      </c>
      <c r="B643" s="12">
        <v>46281</v>
      </c>
      <c r="C643" s="13" t="s">
        <v>1669</v>
      </c>
      <c r="D643" s="13" t="s">
        <v>104</v>
      </c>
      <c r="E643" s="13" t="s">
        <v>1670</v>
      </c>
      <c r="F643" s="13" t="s">
        <v>1671</v>
      </c>
      <c r="G643" s="11" t="s">
        <v>84</v>
      </c>
      <c r="H643" s="11">
        <f>IFERROR(VLOOKUP(G643,Paramètres!$B$6:$F$8,2,FALSE()),"")</f>
        <v>5</v>
      </c>
      <c r="I643" s="13" t="s">
        <v>74</v>
      </c>
      <c r="J643" s="11" t="s">
        <v>41</v>
      </c>
      <c r="K643" s="12">
        <v>46282</v>
      </c>
      <c r="L643" s="12">
        <v>46283</v>
      </c>
      <c r="M643" s="13" t="s">
        <v>86</v>
      </c>
      <c r="N643" s="14" t="s">
        <v>43</v>
      </c>
      <c r="O643" s="12">
        <v>46287</v>
      </c>
      <c r="P643" s="11">
        <f t="shared" si="54"/>
        <v>6</v>
      </c>
      <c r="Q643" s="11" t="str">
        <f t="shared" ca="1" si="55"/>
        <v>-</v>
      </c>
      <c r="R643" s="11">
        <f>IFERROR(VLOOKUP(G643,Paramètres!$B$6:$F$8,3,FALSE()),"")</f>
        <v>2</v>
      </c>
      <c r="S643" s="11" t="str">
        <f t="shared" ca="1" si="56"/>
        <v>-</v>
      </c>
      <c r="T643" s="12">
        <v>46288</v>
      </c>
      <c r="U643" s="11">
        <f t="shared" si="57"/>
        <v>1</v>
      </c>
      <c r="V643" s="11">
        <f t="shared" si="58"/>
        <v>0</v>
      </c>
      <c r="W643" s="11" t="str">
        <f t="shared" si="59"/>
        <v>Dans les délais</v>
      </c>
    </row>
    <row r="644" spans="1:23">
      <c r="A644" s="11">
        <v>628</v>
      </c>
      <c r="B644" s="12">
        <v>46282</v>
      </c>
      <c r="C644" s="13" t="s">
        <v>1672</v>
      </c>
      <c r="D644" s="13" t="s">
        <v>68</v>
      </c>
      <c r="E644" s="13"/>
      <c r="F644" s="13" t="s">
        <v>1673</v>
      </c>
      <c r="G644" s="11" t="s">
        <v>39</v>
      </c>
      <c r="H644" s="11">
        <f>IFERROR(VLOOKUP(G644,Paramètres!$B$6:$F$8,2,FALSE()),"")</f>
        <v>5</v>
      </c>
      <c r="I644" s="13" t="s">
        <v>426</v>
      </c>
      <c r="J644" s="11" t="s">
        <v>41</v>
      </c>
      <c r="K644" s="12">
        <v>46282</v>
      </c>
      <c r="L644" s="12">
        <v>46283</v>
      </c>
      <c r="M644" s="13"/>
      <c r="N644" s="14" t="s">
        <v>87</v>
      </c>
      <c r="O644" s="12">
        <v>46287</v>
      </c>
      <c r="P644" s="11">
        <f t="shared" si="54"/>
        <v>5</v>
      </c>
      <c r="Q644" s="11" t="str">
        <f t="shared" ca="1" si="55"/>
        <v>-</v>
      </c>
      <c r="R644" s="11">
        <f>IFERROR(VLOOKUP(G644,Paramètres!$B$6:$F$8,3,FALSE()),"")</f>
        <v>2</v>
      </c>
      <c r="S644" s="11" t="str">
        <f t="shared" ca="1" si="56"/>
        <v>-</v>
      </c>
      <c r="T644" s="12">
        <v>46290</v>
      </c>
      <c r="U644" s="11">
        <f t="shared" si="57"/>
        <v>3</v>
      </c>
      <c r="V644" s="11">
        <f t="shared" si="58"/>
        <v>1</v>
      </c>
      <c r="W644" s="11" t="str">
        <f t="shared" si="59"/>
        <v>Hors délais</v>
      </c>
    </row>
    <row r="645" spans="1:23">
      <c r="A645" s="11">
        <v>629</v>
      </c>
      <c r="B645" s="12">
        <v>46283</v>
      </c>
      <c r="C645" s="13" t="s">
        <v>1674</v>
      </c>
      <c r="D645" s="13" t="s">
        <v>178</v>
      </c>
      <c r="E645" s="13"/>
      <c r="F645" s="13" t="s">
        <v>1675</v>
      </c>
      <c r="G645" s="11" t="s">
        <v>39</v>
      </c>
      <c r="H645" s="11">
        <f>IFERROR(VLOOKUP(G645,Paramètres!$B$6:$F$8,2,FALSE()),"")</f>
        <v>5</v>
      </c>
      <c r="I645" s="13" t="s">
        <v>130</v>
      </c>
      <c r="J645" s="11" t="s">
        <v>48</v>
      </c>
      <c r="K645" s="12">
        <v>46283</v>
      </c>
      <c r="L645" s="12">
        <v>46286</v>
      </c>
      <c r="M645" s="13" t="s">
        <v>49</v>
      </c>
      <c r="N645" s="14" t="s">
        <v>186</v>
      </c>
      <c r="O645" s="12">
        <v>46294</v>
      </c>
      <c r="P645" s="11">
        <f t="shared" si="54"/>
        <v>11</v>
      </c>
      <c r="Q645" s="11" t="str">
        <f t="shared" ca="1" si="55"/>
        <v>-</v>
      </c>
      <c r="R645" s="11">
        <f>IFERROR(VLOOKUP(G645,Paramètres!$B$6:$F$8,3,FALSE()),"")</f>
        <v>2</v>
      </c>
      <c r="S645" s="11" t="str">
        <f t="shared" ca="1" si="56"/>
        <v>-</v>
      </c>
      <c r="T645" s="12">
        <v>46297</v>
      </c>
      <c r="U645" s="11">
        <f t="shared" si="57"/>
        <v>3</v>
      </c>
      <c r="V645" s="11">
        <f t="shared" si="58"/>
        <v>7</v>
      </c>
      <c r="W645" s="11" t="str">
        <f t="shared" si="59"/>
        <v>Hors délais</v>
      </c>
    </row>
    <row r="646" spans="1:23">
      <c r="A646" s="11">
        <v>630</v>
      </c>
      <c r="B646" s="12">
        <v>46283</v>
      </c>
      <c r="C646" s="13" t="s">
        <v>1676</v>
      </c>
      <c r="D646" s="13" t="s">
        <v>37</v>
      </c>
      <c r="E646" s="13" t="s">
        <v>1677</v>
      </c>
      <c r="F646" s="13" t="s">
        <v>1678</v>
      </c>
      <c r="G646" s="11" t="s">
        <v>39</v>
      </c>
      <c r="H646" s="11">
        <f>IFERROR(VLOOKUP(G646,Paramètres!$B$6:$F$8,2,FALSE()),"")</f>
        <v>5</v>
      </c>
      <c r="I646" s="13" t="s">
        <v>130</v>
      </c>
      <c r="J646" s="11" t="s">
        <v>48</v>
      </c>
      <c r="K646" s="12">
        <v>46286</v>
      </c>
      <c r="L646" s="12">
        <v>46287</v>
      </c>
      <c r="M646" s="13" t="s">
        <v>61</v>
      </c>
      <c r="N646" s="14" t="s">
        <v>186</v>
      </c>
      <c r="O646" s="12">
        <v>46287</v>
      </c>
      <c r="P646" s="11">
        <f t="shared" si="54"/>
        <v>4</v>
      </c>
      <c r="Q646" s="11" t="str">
        <f t="shared" ca="1" si="55"/>
        <v>-</v>
      </c>
      <c r="R646" s="11">
        <f>IFERROR(VLOOKUP(G646,Paramètres!$B$6:$F$8,3,FALSE()),"")</f>
        <v>2</v>
      </c>
      <c r="S646" s="11" t="str">
        <f t="shared" ca="1" si="56"/>
        <v>-</v>
      </c>
      <c r="T646" s="12">
        <v>46289</v>
      </c>
      <c r="U646" s="11">
        <f t="shared" si="57"/>
        <v>2</v>
      </c>
      <c r="V646" s="11">
        <f t="shared" si="58"/>
        <v>-1</v>
      </c>
      <c r="W646" s="11" t="str">
        <f t="shared" si="59"/>
        <v>Dans les délais</v>
      </c>
    </row>
    <row r="647" spans="1:23">
      <c r="A647" s="11">
        <v>631</v>
      </c>
      <c r="B647" s="12">
        <v>46286</v>
      </c>
      <c r="C647" s="13" t="s">
        <v>1679</v>
      </c>
      <c r="D647" s="13" t="s">
        <v>37</v>
      </c>
      <c r="E647" s="13"/>
      <c r="F647" s="13" t="s">
        <v>1680</v>
      </c>
      <c r="G647" s="11" t="s">
        <v>39</v>
      </c>
      <c r="H647" s="11">
        <f>IFERROR(VLOOKUP(G647,Paramètres!$B$6:$F$8,2,FALSE()),"")</f>
        <v>5</v>
      </c>
      <c r="I647" s="13" t="s">
        <v>240</v>
      </c>
      <c r="J647" s="11" t="s">
        <v>55</v>
      </c>
      <c r="K647" s="12">
        <v>46287</v>
      </c>
      <c r="L647" s="12">
        <v>46287</v>
      </c>
      <c r="M647" s="13"/>
      <c r="N647" s="14" t="s">
        <v>57</v>
      </c>
      <c r="O647" s="12"/>
      <c r="P647" s="11" t="str">
        <f t="shared" si="54"/>
        <v/>
      </c>
      <c r="Q647" s="11" t="str">
        <f t="shared" ca="1" si="55"/>
        <v>ROUGE</v>
      </c>
      <c r="R647" s="11">
        <f>IFERROR(VLOOKUP(G647,Paramètres!$B$6:$F$8,3,FALSE()),"")</f>
        <v>2</v>
      </c>
      <c r="S647" s="11" t="str">
        <f t="shared" ca="1" si="56"/>
        <v/>
      </c>
      <c r="T647" s="12"/>
      <c r="U647" s="11" t="str">
        <f t="shared" si="57"/>
        <v/>
      </c>
      <c r="V647" s="11" t="str">
        <f t="shared" si="58"/>
        <v/>
      </c>
      <c r="W647" s="11" t="str">
        <f t="shared" si="59"/>
        <v/>
      </c>
    </row>
    <row r="648" spans="1:23">
      <c r="A648" s="11">
        <v>632</v>
      </c>
      <c r="B648" s="12">
        <v>46286</v>
      </c>
      <c r="C648" s="13" t="s">
        <v>1681</v>
      </c>
      <c r="D648" s="13" t="s">
        <v>145</v>
      </c>
      <c r="E648" s="13" t="s">
        <v>1682</v>
      </c>
      <c r="F648" s="13" t="s">
        <v>1683</v>
      </c>
      <c r="G648" s="11" t="s">
        <v>53</v>
      </c>
      <c r="H648" s="11" t="str">
        <f>IFERROR(VLOOKUP(G648,Paramètres!$B$6:$F$8,2,FALSE()),"")</f>
        <v>N/A</v>
      </c>
      <c r="I648" s="13" t="s">
        <v>85</v>
      </c>
      <c r="J648" s="11" t="s">
        <v>41</v>
      </c>
      <c r="K648" s="12">
        <v>46286</v>
      </c>
      <c r="L648" s="12">
        <v>46286</v>
      </c>
      <c r="M648" s="13" t="s">
        <v>86</v>
      </c>
      <c r="N648" s="14" t="s">
        <v>43</v>
      </c>
      <c r="O648" s="12"/>
      <c r="P648" s="11" t="str">
        <f t="shared" si="54"/>
        <v>-</v>
      </c>
      <c r="Q648" s="11" t="str">
        <f t="shared" ca="1" si="55"/>
        <v>-</v>
      </c>
      <c r="R648" s="11" t="str">
        <f>IFERROR(VLOOKUP(G648,Paramètres!$B$6:$F$8,3,FALSE()),"")</f>
        <v>N/A</v>
      </c>
      <c r="S648" s="11" t="str">
        <f t="shared" ca="1" si="56"/>
        <v>-</v>
      </c>
      <c r="T648" s="12"/>
      <c r="U648" s="11" t="str">
        <f t="shared" si="57"/>
        <v>-</v>
      </c>
      <c r="V648" s="11" t="str">
        <f t="shared" si="58"/>
        <v>-</v>
      </c>
      <c r="W648" s="11" t="str">
        <f t="shared" si="59"/>
        <v>Ne nécessite pas de réponse</v>
      </c>
    </row>
    <row r="649" spans="1:23">
      <c r="A649" s="11">
        <v>633</v>
      </c>
      <c r="B649" s="12">
        <v>46286</v>
      </c>
      <c r="C649" s="13" t="s">
        <v>1684</v>
      </c>
      <c r="D649" s="13" t="s">
        <v>100</v>
      </c>
      <c r="E649" s="13"/>
      <c r="F649" s="13" t="s">
        <v>1685</v>
      </c>
      <c r="G649" s="11" t="s">
        <v>39</v>
      </c>
      <c r="H649" s="11">
        <f>IFERROR(VLOOKUP(G649,Paramètres!$B$6:$F$8,2,FALSE()),"")</f>
        <v>5</v>
      </c>
      <c r="I649" s="13" t="s">
        <v>40</v>
      </c>
      <c r="J649" s="11" t="s">
        <v>41</v>
      </c>
      <c r="K649" s="12">
        <v>46286</v>
      </c>
      <c r="L649" s="12">
        <v>46287</v>
      </c>
      <c r="M649" s="13" t="s">
        <v>42</v>
      </c>
      <c r="N649" s="14" t="s">
        <v>87</v>
      </c>
      <c r="O649" s="12"/>
      <c r="P649" s="11" t="str">
        <f t="shared" si="54"/>
        <v/>
      </c>
      <c r="Q649" s="11" t="str">
        <f t="shared" ca="1" si="55"/>
        <v>ROUGE</v>
      </c>
      <c r="R649" s="11">
        <f>IFERROR(VLOOKUP(G649,Paramètres!$B$6:$F$8,3,FALSE()),"")</f>
        <v>2</v>
      </c>
      <c r="S649" s="11" t="str">
        <f t="shared" ca="1" si="56"/>
        <v/>
      </c>
      <c r="T649" s="12"/>
      <c r="U649" s="11" t="str">
        <f t="shared" si="57"/>
        <v/>
      </c>
      <c r="V649" s="11" t="str">
        <f t="shared" si="58"/>
        <v/>
      </c>
      <c r="W649" s="11" t="str">
        <f t="shared" si="59"/>
        <v/>
      </c>
    </row>
    <row r="650" spans="1:23">
      <c r="A650" s="11">
        <v>634</v>
      </c>
      <c r="B650" s="12">
        <v>46287</v>
      </c>
      <c r="C650" s="13" t="s">
        <v>1686</v>
      </c>
      <c r="D650" s="13" t="s">
        <v>123</v>
      </c>
      <c r="E650" s="13" t="s">
        <v>1687</v>
      </c>
      <c r="F650" s="13" t="s">
        <v>1688</v>
      </c>
      <c r="G650" s="11" t="s">
        <v>39</v>
      </c>
      <c r="H650" s="11">
        <f>IFERROR(VLOOKUP(G650,Paramètres!$B$6:$F$8,2,FALSE()),"")</f>
        <v>5</v>
      </c>
      <c r="I650" s="13" t="s">
        <v>65</v>
      </c>
      <c r="J650" s="11" t="s">
        <v>55</v>
      </c>
      <c r="K650" s="12">
        <v>46287</v>
      </c>
      <c r="L650" s="12">
        <v>46287</v>
      </c>
      <c r="M650" s="13" t="s">
        <v>61</v>
      </c>
      <c r="N650" s="14" t="s">
        <v>102</v>
      </c>
      <c r="O650" s="12">
        <v>46289</v>
      </c>
      <c r="P650" s="11">
        <f t="shared" si="54"/>
        <v>2</v>
      </c>
      <c r="Q650" s="11" t="str">
        <f t="shared" ca="1" si="55"/>
        <v>-</v>
      </c>
      <c r="R650" s="11">
        <f>IFERROR(VLOOKUP(G650,Paramètres!$B$6:$F$8,3,FALSE()),"")</f>
        <v>2</v>
      </c>
      <c r="S650" s="11" t="str">
        <f t="shared" ca="1" si="56"/>
        <v>-</v>
      </c>
      <c r="T650" s="12">
        <v>46290</v>
      </c>
      <c r="U650" s="11">
        <f t="shared" si="57"/>
        <v>1</v>
      </c>
      <c r="V650" s="11">
        <f t="shared" si="58"/>
        <v>-4</v>
      </c>
      <c r="W650" s="11" t="str">
        <f t="shared" si="59"/>
        <v>Dans les délais</v>
      </c>
    </row>
    <row r="651" spans="1:23">
      <c r="A651" s="11">
        <v>635</v>
      </c>
      <c r="B651" s="12">
        <v>46287</v>
      </c>
      <c r="C651" s="13" t="s">
        <v>1689</v>
      </c>
      <c r="D651" s="13" t="s">
        <v>63</v>
      </c>
      <c r="E651" s="13" t="s">
        <v>1690</v>
      </c>
      <c r="F651" s="13" t="s">
        <v>1691</v>
      </c>
      <c r="G651" s="11" t="s">
        <v>39</v>
      </c>
      <c r="H651" s="11">
        <f>IFERROR(VLOOKUP(G651,Paramètres!$B$6:$F$8,2,FALSE()),"")</f>
        <v>5</v>
      </c>
      <c r="I651" s="13" t="s">
        <v>426</v>
      </c>
      <c r="J651" s="11" t="s">
        <v>41</v>
      </c>
      <c r="K651" s="12">
        <v>46287</v>
      </c>
      <c r="L651" s="12">
        <v>46287</v>
      </c>
      <c r="M651" s="13"/>
      <c r="N651" s="14" t="s">
        <v>76</v>
      </c>
      <c r="O651" s="12">
        <v>46300</v>
      </c>
      <c r="P651" s="11">
        <f t="shared" si="54"/>
        <v>13</v>
      </c>
      <c r="Q651" s="11" t="str">
        <f t="shared" ca="1" si="55"/>
        <v>-</v>
      </c>
      <c r="R651" s="11">
        <f>IFERROR(VLOOKUP(G651,Paramètres!$B$6:$F$8,3,FALSE()),"")</f>
        <v>2</v>
      </c>
      <c r="S651" s="11" t="str">
        <f t="shared" ca="1" si="56"/>
        <v>-</v>
      </c>
      <c r="T651" s="12">
        <v>46300</v>
      </c>
      <c r="U651" s="11">
        <f t="shared" si="57"/>
        <v>0</v>
      </c>
      <c r="V651" s="11">
        <f t="shared" si="58"/>
        <v>6</v>
      </c>
      <c r="W651" s="11" t="str">
        <f t="shared" si="59"/>
        <v>Hors délais</v>
      </c>
    </row>
    <row r="652" spans="1:23" ht="28.5">
      <c r="A652" s="11">
        <v>636</v>
      </c>
      <c r="B652" s="12">
        <v>46287</v>
      </c>
      <c r="C652" s="13" t="s">
        <v>1692</v>
      </c>
      <c r="D652" s="13" t="s">
        <v>118</v>
      </c>
      <c r="E652" s="13"/>
      <c r="F652" s="13" t="s">
        <v>1693</v>
      </c>
      <c r="G652" s="11" t="s">
        <v>39</v>
      </c>
      <c r="H652" s="11">
        <f>IFERROR(VLOOKUP(G652,Paramètres!$B$6:$F$8,2,FALSE()),"")</f>
        <v>5</v>
      </c>
      <c r="I652" s="13" t="s">
        <v>40</v>
      </c>
      <c r="J652" s="11" t="s">
        <v>41</v>
      </c>
      <c r="K652" s="12">
        <v>46287</v>
      </c>
      <c r="L652" s="12">
        <v>46287</v>
      </c>
      <c r="M652" s="13" t="s">
        <v>75</v>
      </c>
      <c r="N652" s="14" t="s">
        <v>76</v>
      </c>
      <c r="O652" s="12">
        <v>46296</v>
      </c>
      <c r="P652" s="11">
        <f t="shared" si="54"/>
        <v>9</v>
      </c>
      <c r="Q652" s="11" t="str">
        <f t="shared" ca="1" si="55"/>
        <v>-</v>
      </c>
      <c r="R652" s="11">
        <f>IFERROR(VLOOKUP(G652,Paramètres!$B$6:$F$8,3,FALSE()),"")</f>
        <v>2</v>
      </c>
      <c r="S652" s="11" t="str">
        <f t="shared" ca="1" si="56"/>
        <v>-</v>
      </c>
      <c r="T652" s="12">
        <v>46301</v>
      </c>
      <c r="U652" s="11">
        <f t="shared" si="57"/>
        <v>5</v>
      </c>
      <c r="V652" s="11">
        <f t="shared" si="58"/>
        <v>7</v>
      </c>
      <c r="W652" s="11" t="str">
        <f t="shared" si="59"/>
        <v>Hors délais</v>
      </c>
    </row>
    <row r="653" spans="1:23" ht="28.5">
      <c r="A653" s="11">
        <v>637</v>
      </c>
      <c r="B653" s="12">
        <v>46288</v>
      </c>
      <c r="C653" s="13" t="s">
        <v>1694</v>
      </c>
      <c r="D653" s="13" t="s">
        <v>230</v>
      </c>
      <c r="E653" s="13" t="s">
        <v>1695</v>
      </c>
      <c r="F653" s="13" t="s">
        <v>1696</v>
      </c>
      <c r="G653" s="11" t="s">
        <v>53</v>
      </c>
      <c r="H653" s="11" t="str">
        <f>IFERROR(VLOOKUP(G653,Paramètres!$B$6:$F$8,2,FALSE()),"")</f>
        <v>N/A</v>
      </c>
      <c r="I653" s="13" t="s">
        <v>130</v>
      </c>
      <c r="J653" s="11" t="s">
        <v>48</v>
      </c>
      <c r="K653" s="12">
        <v>46289</v>
      </c>
      <c r="L653" s="12">
        <v>46290</v>
      </c>
      <c r="M653" s="13" t="s">
        <v>75</v>
      </c>
      <c r="N653" s="14" t="s">
        <v>186</v>
      </c>
      <c r="O653" s="12"/>
      <c r="P653" s="11" t="str">
        <f t="shared" si="54"/>
        <v>-</v>
      </c>
      <c r="Q653" s="11" t="str">
        <f t="shared" ca="1" si="55"/>
        <v>-</v>
      </c>
      <c r="R653" s="11" t="str">
        <f>IFERROR(VLOOKUP(G653,Paramètres!$B$6:$F$8,3,FALSE()),"")</f>
        <v>N/A</v>
      </c>
      <c r="S653" s="11" t="str">
        <f t="shared" ca="1" si="56"/>
        <v>-</v>
      </c>
      <c r="T653" s="12"/>
      <c r="U653" s="11" t="str">
        <f t="shared" si="57"/>
        <v>-</v>
      </c>
      <c r="V653" s="11" t="str">
        <f t="shared" si="58"/>
        <v>-</v>
      </c>
      <c r="W653" s="11" t="str">
        <f t="shared" si="59"/>
        <v>Ne nécessite pas de réponse</v>
      </c>
    </row>
    <row r="654" spans="1:23">
      <c r="A654" s="11">
        <v>638</v>
      </c>
      <c r="B654" s="12">
        <v>46289</v>
      </c>
      <c r="C654" s="13" t="s">
        <v>1697</v>
      </c>
      <c r="D654" s="13" t="s">
        <v>104</v>
      </c>
      <c r="E654" s="13" t="s">
        <v>1698</v>
      </c>
      <c r="F654" s="13" t="s">
        <v>1699</v>
      </c>
      <c r="G654" s="11" t="s">
        <v>39</v>
      </c>
      <c r="H654" s="11">
        <f>IFERROR(VLOOKUP(G654,Paramètres!$B$6:$F$8,2,FALSE()),"")</f>
        <v>5</v>
      </c>
      <c r="I654" s="13" t="s">
        <v>168</v>
      </c>
      <c r="J654" s="11" t="s">
        <v>48</v>
      </c>
      <c r="K654" s="12">
        <v>46289</v>
      </c>
      <c r="L654" s="12">
        <v>46290</v>
      </c>
      <c r="M654" s="13" t="s">
        <v>42</v>
      </c>
      <c r="N654" s="14" t="s">
        <v>186</v>
      </c>
      <c r="O654" s="12">
        <v>46295</v>
      </c>
      <c r="P654" s="11">
        <f t="shared" si="54"/>
        <v>6</v>
      </c>
      <c r="Q654" s="11" t="str">
        <f t="shared" ca="1" si="55"/>
        <v>-</v>
      </c>
      <c r="R654" s="11">
        <f>IFERROR(VLOOKUP(G654,Paramètres!$B$6:$F$8,3,FALSE()),"")</f>
        <v>2</v>
      </c>
      <c r="S654" s="11" t="str">
        <f t="shared" ca="1" si="56"/>
        <v>-</v>
      </c>
      <c r="T654" s="12">
        <v>46297</v>
      </c>
      <c r="U654" s="11">
        <f t="shared" si="57"/>
        <v>2</v>
      </c>
      <c r="V654" s="11">
        <f t="shared" si="58"/>
        <v>1</v>
      </c>
      <c r="W654" s="11" t="str">
        <f t="shared" si="59"/>
        <v>Hors délais</v>
      </c>
    </row>
    <row r="655" spans="1:23">
      <c r="A655" s="11">
        <v>639</v>
      </c>
      <c r="B655" s="12">
        <v>46290</v>
      </c>
      <c r="C655" s="13" t="s">
        <v>1700</v>
      </c>
      <c r="D655" s="13" t="s">
        <v>118</v>
      </c>
      <c r="E655" s="13"/>
      <c r="F655" s="13" t="s">
        <v>1701</v>
      </c>
      <c r="G655" s="11" t="s">
        <v>53</v>
      </c>
      <c r="H655" s="11" t="str">
        <f>IFERROR(VLOOKUP(G655,Paramètres!$B$6:$F$8,2,FALSE()),"")</f>
        <v>N/A</v>
      </c>
      <c r="I655" s="13" t="s">
        <v>74</v>
      </c>
      <c r="J655" s="11" t="s">
        <v>41</v>
      </c>
      <c r="K655" s="12">
        <v>46290</v>
      </c>
      <c r="L655" s="12">
        <v>46290</v>
      </c>
      <c r="M655" s="13" t="s">
        <v>61</v>
      </c>
      <c r="N655" s="14" t="s">
        <v>87</v>
      </c>
      <c r="O655" s="12"/>
      <c r="P655" s="11" t="str">
        <f t="shared" si="54"/>
        <v>-</v>
      </c>
      <c r="Q655" s="11" t="str">
        <f t="shared" ca="1" si="55"/>
        <v>-</v>
      </c>
      <c r="R655" s="11" t="str">
        <f>IFERROR(VLOOKUP(G655,Paramètres!$B$6:$F$8,3,FALSE()),"")</f>
        <v>N/A</v>
      </c>
      <c r="S655" s="11" t="str">
        <f t="shared" ca="1" si="56"/>
        <v>-</v>
      </c>
      <c r="T655" s="12"/>
      <c r="U655" s="11" t="str">
        <f t="shared" si="57"/>
        <v>-</v>
      </c>
      <c r="V655" s="11" t="str">
        <f t="shared" si="58"/>
        <v>-</v>
      </c>
      <c r="W655" s="11" t="str">
        <f t="shared" si="59"/>
        <v>Ne nécessite pas de réponse</v>
      </c>
    </row>
    <row r="656" spans="1:23">
      <c r="A656" s="11">
        <v>640</v>
      </c>
      <c r="B656" s="12">
        <v>46290</v>
      </c>
      <c r="C656" s="13" t="s">
        <v>1702</v>
      </c>
      <c r="D656" s="13" t="s">
        <v>100</v>
      </c>
      <c r="E656" s="13"/>
      <c r="F656" s="13" t="s">
        <v>1703</v>
      </c>
      <c r="G656" s="11" t="s">
        <v>39</v>
      </c>
      <c r="H656" s="11">
        <f>IFERROR(VLOOKUP(G656,Paramètres!$B$6:$F$8,2,FALSE()),"")</f>
        <v>5</v>
      </c>
      <c r="I656" s="13" t="s">
        <v>98</v>
      </c>
      <c r="J656" s="11" t="s">
        <v>41</v>
      </c>
      <c r="K656" s="12">
        <v>46293</v>
      </c>
      <c r="L656" s="12">
        <v>46293</v>
      </c>
      <c r="M656" s="13"/>
      <c r="N656" s="14" t="s">
        <v>76</v>
      </c>
      <c r="O656" s="12">
        <v>46295</v>
      </c>
      <c r="P656" s="11">
        <f t="shared" si="54"/>
        <v>5</v>
      </c>
      <c r="Q656" s="11" t="str">
        <f t="shared" ca="1" si="55"/>
        <v>-</v>
      </c>
      <c r="R656" s="11">
        <f>IFERROR(VLOOKUP(G656,Paramètres!$B$6:$F$8,3,FALSE()),"")</f>
        <v>2</v>
      </c>
      <c r="S656" s="11" t="str">
        <f t="shared" ca="1" si="56"/>
        <v>-</v>
      </c>
      <c r="T656" s="12">
        <v>46297</v>
      </c>
      <c r="U656" s="11">
        <f t="shared" si="57"/>
        <v>2</v>
      </c>
      <c r="V656" s="11">
        <f t="shared" si="58"/>
        <v>0</v>
      </c>
      <c r="W656" s="11" t="str">
        <f t="shared" si="59"/>
        <v>Dans les délais</v>
      </c>
    </row>
    <row r="657" spans="1:23">
      <c r="A657" s="11">
        <v>641</v>
      </c>
      <c r="B657" s="12">
        <v>46293</v>
      </c>
      <c r="C657" s="13" t="s">
        <v>1704</v>
      </c>
      <c r="D657" s="13" t="s">
        <v>178</v>
      </c>
      <c r="E657" s="13" t="s">
        <v>1705</v>
      </c>
      <c r="F657" s="13" t="s">
        <v>1706</v>
      </c>
      <c r="G657" s="11" t="s">
        <v>39</v>
      </c>
      <c r="H657" s="11">
        <f>IFERROR(VLOOKUP(G657,Paramètres!$B$6:$F$8,2,FALSE()),"")</f>
        <v>5</v>
      </c>
      <c r="I657" s="13" t="s">
        <v>47</v>
      </c>
      <c r="J657" s="11" t="s">
        <v>48</v>
      </c>
      <c r="K657" s="12">
        <v>46294</v>
      </c>
      <c r="L657" s="12">
        <v>46294</v>
      </c>
      <c r="M657" s="13" t="s">
        <v>61</v>
      </c>
      <c r="N657" s="14" t="s">
        <v>121</v>
      </c>
      <c r="O657" s="12">
        <v>46304</v>
      </c>
      <c r="P657" s="11">
        <f t="shared" ref="P657:P720" si="60">IF(G657="Ne nécessite pas de réponse","-",IF(AND(ISNUMBER(B657),ISNUMBER(O657)),O657-B657,""))</f>
        <v>11</v>
      </c>
      <c r="Q657" s="11" t="str">
        <f t="shared" ref="Q657:Q720" ca="1" si="61">IF(G657="Ne nécessite pas de réponse","-",IF(O657&lt;&gt;"","-",IF(OR(B657="",H657="",NOT(ISNUMBER(H657)),H657=0),"",IF((TODAY()-B657)/H657&lt;=0.5,"VERT",IF((TODAY()-B657)/H657&lt;=0.8,"JAUNE","ROUGE")))))</f>
        <v>-</v>
      </c>
      <c r="R657" s="11">
        <f>IFERROR(VLOOKUP(G657,Paramètres!$B$6:$F$8,3,FALSE()),"")</f>
        <v>2</v>
      </c>
      <c r="S657" s="11" t="str">
        <f t="shared" ref="S657:S720" ca="1" si="62">IF(G657="Ne nécessite pas de réponse","-",IF(O657="","",IF(T657&lt;&gt;"","-",IF(OR(R657="",NOT(ISNUMBER(R657)),R657=0),"",IF((TODAY()-O657)/R657&lt;=0.5,"VERT",IF((TODAY()-O657)/R657&lt;=0.8,"JAUNE","ROUGE"))))))</f>
        <v>-</v>
      </c>
      <c r="T657" s="12">
        <v>46311</v>
      </c>
      <c r="U657" s="11">
        <f t="shared" ref="U657:U720" si="63">IF(G657="Ne nécessite pas de réponse","-",IF(AND(ISNUMBER(O657),ISNUMBER(T657)),T657-O657,""))</f>
        <v>7</v>
      </c>
      <c r="V657" s="11">
        <f t="shared" ref="V657:V720" si="64">IF(G657="Ne nécessite pas de réponse","-",IF(AND(ISNUMBER(T657),ISNUMBER(B657),ISNUMBER(H657),ISNUMBER(R657)),T657-(B657+H657+R657),""))</f>
        <v>11</v>
      </c>
      <c r="W657" s="11" t="str">
        <f t="shared" ref="W657:W720" si="65">IF(G657="Ne nécessite pas de réponse","Ne nécessite pas de réponse",IF(T657="","",IF(V657&lt;=0,"Dans les délais","Hors délais")))</f>
        <v>Hors délais</v>
      </c>
    </row>
    <row r="658" spans="1:23">
      <c r="A658" s="11">
        <v>642</v>
      </c>
      <c r="B658" s="12">
        <v>46293</v>
      </c>
      <c r="C658" s="13" t="s">
        <v>1707</v>
      </c>
      <c r="D658" s="13" t="s">
        <v>59</v>
      </c>
      <c r="E658" s="13"/>
      <c r="F658" s="13" t="s">
        <v>1708</v>
      </c>
      <c r="G658" s="11" t="s">
        <v>39</v>
      </c>
      <c r="H658" s="11">
        <f>IFERROR(VLOOKUP(G658,Paramètres!$B$6:$F$8,2,FALSE()),"")</f>
        <v>5</v>
      </c>
      <c r="I658" s="13" t="s">
        <v>47</v>
      </c>
      <c r="J658" s="11" t="s">
        <v>48</v>
      </c>
      <c r="K658" s="12">
        <v>46293</v>
      </c>
      <c r="L658" s="12">
        <v>46293</v>
      </c>
      <c r="M658" s="13" t="s">
        <v>61</v>
      </c>
      <c r="N658" s="14" t="s">
        <v>186</v>
      </c>
      <c r="O658" s="12">
        <v>46301</v>
      </c>
      <c r="P658" s="11">
        <f t="shared" si="60"/>
        <v>8</v>
      </c>
      <c r="Q658" s="11" t="str">
        <f t="shared" ca="1" si="61"/>
        <v>-</v>
      </c>
      <c r="R658" s="11">
        <f>IFERROR(VLOOKUP(G658,Paramètres!$B$6:$F$8,3,FALSE()),"")</f>
        <v>2</v>
      </c>
      <c r="S658" s="11" t="str">
        <f t="shared" ca="1" si="62"/>
        <v>-</v>
      </c>
      <c r="T658" s="12">
        <v>46303</v>
      </c>
      <c r="U658" s="11">
        <f t="shared" si="63"/>
        <v>2</v>
      </c>
      <c r="V658" s="11">
        <f t="shared" si="64"/>
        <v>3</v>
      </c>
      <c r="W658" s="11" t="str">
        <f t="shared" si="65"/>
        <v>Hors délais</v>
      </c>
    </row>
    <row r="659" spans="1:23">
      <c r="A659" s="11">
        <v>643</v>
      </c>
      <c r="B659" s="12">
        <v>46293</v>
      </c>
      <c r="C659" s="13" t="s">
        <v>1709</v>
      </c>
      <c r="D659" s="13" t="s">
        <v>45</v>
      </c>
      <c r="E659" s="13" t="s">
        <v>1710</v>
      </c>
      <c r="F659" s="13" t="s">
        <v>1711</v>
      </c>
      <c r="G659" s="11" t="s">
        <v>39</v>
      </c>
      <c r="H659" s="11">
        <f>IFERROR(VLOOKUP(G659,Paramètres!$B$6:$F$8,2,FALSE()),"")</f>
        <v>5</v>
      </c>
      <c r="I659" s="13" t="s">
        <v>240</v>
      </c>
      <c r="J659" s="11" t="s">
        <v>55</v>
      </c>
      <c r="K659" s="12">
        <v>46293</v>
      </c>
      <c r="L659" s="12">
        <v>46293</v>
      </c>
      <c r="M659" s="13" t="s">
        <v>61</v>
      </c>
      <c r="N659" s="14" t="s">
        <v>66</v>
      </c>
      <c r="O659" s="12">
        <v>46304</v>
      </c>
      <c r="P659" s="11">
        <f t="shared" si="60"/>
        <v>11</v>
      </c>
      <c r="Q659" s="11" t="str">
        <f t="shared" ca="1" si="61"/>
        <v>-</v>
      </c>
      <c r="R659" s="11">
        <f>IFERROR(VLOOKUP(G659,Paramètres!$B$6:$F$8,3,FALSE()),"")</f>
        <v>2</v>
      </c>
      <c r="S659" s="11" t="str">
        <f t="shared" ca="1" si="62"/>
        <v>-</v>
      </c>
      <c r="T659" s="12">
        <v>46308</v>
      </c>
      <c r="U659" s="11">
        <f t="shared" si="63"/>
        <v>4</v>
      </c>
      <c r="V659" s="11">
        <f t="shared" si="64"/>
        <v>8</v>
      </c>
      <c r="W659" s="11" t="str">
        <f t="shared" si="65"/>
        <v>Hors délais</v>
      </c>
    </row>
    <row r="660" spans="1:23" ht="28.5">
      <c r="A660" s="11">
        <v>644</v>
      </c>
      <c r="B660" s="12">
        <v>46293</v>
      </c>
      <c r="C660" s="13" t="s">
        <v>1712</v>
      </c>
      <c r="D660" s="13" t="s">
        <v>100</v>
      </c>
      <c r="E660" s="13"/>
      <c r="F660" s="13" t="s">
        <v>1713</v>
      </c>
      <c r="G660" s="11" t="s">
        <v>39</v>
      </c>
      <c r="H660" s="11">
        <f>IFERROR(VLOOKUP(G660,Paramètres!$B$6:$F$8,2,FALSE()),"")</f>
        <v>5</v>
      </c>
      <c r="I660" s="13" t="s">
        <v>240</v>
      </c>
      <c r="J660" s="11" t="s">
        <v>55</v>
      </c>
      <c r="K660" s="12">
        <v>46293</v>
      </c>
      <c r="L660" s="12">
        <v>46293</v>
      </c>
      <c r="M660" s="13" t="s">
        <v>75</v>
      </c>
      <c r="N660" s="14" t="s">
        <v>66</v>
      </c>
      <c r="O660" s="12">
        <v>46297</v>
      </c>
      <c r="P660" s="11">
        <f t="shared" si="60"/>
        <v>4</v>
      </c>
      <c r="Q660" s="11" t="str">
        <f t="shared" ca="1" si="61"/>
        <v>-</v>
      </c>
      <c r="R660" s="11">
        <f>IFERROR(VLOOKUP(G660,Paramètres!$B$6:$F$8,3,FALSE()),"")</f>
        <v>2</v>
      </c>
      <c r="S660" s="11" t="str">
        <f t="shared" ca="1" si="62"/>
        <v>-</v>
      </c>
      <c r="T660" s="12">
        <v>46301</v>
      </c>
      <c r="U660" s="11">
        <f t="shared" si="63"/>
        <v>4</v>
      </c>
      <c r="V660" s="11">
        <f t="shared" si="64"/>
        <v>1</v>
      </c>
      <c r="W660" s="11" t="str">
        <f t="shared" si="65"/>
        <v>Hors délais</v>
      </c>
    </row>
    <row r="661" spans="1:23">
      <c r="A661" s="11">
        <v>645</v>
      </c>
      <c r="B661" s="12">
        <v>46293</v>
      </c>
      <c r="C661" s="13" t="s">
        <v>1714</v>
      </c>
      <c r="D661" s="13" t="s">
        <v>96</v>
      </c>
      <c r="E661" s="13"/>
      <c r="F661" s="13" t="s">
        <v>1715</v>
      </c>
      <c r="G661" s="11" t="s">
        <v>39</v>
      </c>
      <c r="H661" s="11">
        <f>IFERROR(VLOOKUP(G661,Paramètres!$B$6:$F$8,2,FALSE()),"")</f>
        <v>5</v>
      </c>
      <c r="I661" s="13" t="s">
        <v>168</v>
      </c>
      <c r="J661" s="11" t="s">
        <v>48</v>
      </c>
      <c r="K661" s="12">
        <v>46294</v>
      </c>
      <c r="L661" s="12">
        <v>46295</v>
      </c>
      <c r="M661" s="13" t="s">
        <v>86</v>
      </c>
      <c r="N661" s="14" t="s">
        <v>186</v>
      </c>
      <c r="O661" s="12">
        <v>46297</v>
      </c>
      <c r="P661" s="11">
        <f t="shared" si="60"/>
        <v>4</v>
      </c>
      <c r="Q661" s="11" t="str">
        <f t="shared" ca="1" si="61"/>
        <v>-</v>
      </c>
      <c r="R661" s="11">
        <f>IFERROR(VLOOKUP(G661,Paramètres!$B$6:$F$8,3,FALSE()),"")</f>
        <v>2</v>
      </c>
      <c r="S661" s="11" t="str">
        <f t="shared" ca="1" si="62"/>
        <v>-</v>
      </c>
      <c r="T661" s="12">
        <v>46301</v>
      </c>
      <c r="U661" s="11">
        <f t="shared" si="63"/>
        <v>4</v>
      </c>
      <c r="V661" s="11">
        <f t="shared" si="64"/>
        <v>1</v>
      </c>
      <c r="W661" s="11" t="str">
        <f t="shared" si="65"/>
        <v>Hors délais</v>
      </c>
    </row>
    <row r="662" spans="1:23">
      <c r="A662" s="11">
        <v>646</v>
      </c>
      <c r="B662" s="12">
        <v>46294</v>
      </c>
      <c r="C662" s="13" t="s">
        <v>1716</v>
      </c>
      <c r="D662" s="13" t="s">
        <v>81</v>
      </c>
      <c r="E662" s="13" t="s">
        <v>1717</v>
      </c>
      <c r="F662" s="13" t="s">
        <v>1718</v>
      </c>
      <c r="G662" s="11" t="s">
        <v>39</v>
      </c>
      <c r="H662" s="11">
        <f>IFERROR(VLOOKUP(G662,Paramètres!$B$6:$F$8,2,FALSE()),"")</f>
        <v>5</v>
      </c>
      <c r="I662" s="13" t="s">
        <v>190</v>
      </c>
      <c r="J662" s="11" t="s">
        <v>48</v>
      </c>
      <c r="K662" s="12">
        <v>46294</v>
      </c>
      <c r="L662" s="12">
        <v>46295</v>
      </c>
      <c r="M662" s="13" t="s">
        <v>86</v>
      </c>
      <c r="N662" s="14" t="s">
        <v>121</v>
      </c>
      <c r="O662" s="12">
        <v>46303</v>
      </c>
      <c r="P662" s="11">
        <f t="shared" si="60"/>
        <v>9</v>
      </c>
      <c r="Q662" s="11" t="str">
        <f t="shared" ca="1" si="61"/>
        <v>-</v>
      </c>
      <c r="R662" s="11">
        <f>IFERROR(VLOOKUP(G662,Paramètres!$B$6:$F$8,3,FALSE()),"")</f>
        <v>2</v>
      </c>
      <c r="S662" s="11" t="str">
        <f t="shared" ca="1" si="62"/>
        <v>-</v>
      </c>
      <c r="T662" s="12">
        <v>46303</v>
      </c>
      <c r="U662" s="11">
        <f t="shared" si="63"/>
        <v>0</v>
      </c>
      <c r="V662" s="11">
        <f t="shared" si="64"/>
        <v>2</v>
      </c>
      <c r="W662" s="11" t="str">
        <f t="shared" si="65"/>
        <v>Hors délais</v>
      </c>
    </row>
    <row r="663" spans="1:23">
      <c r="A663" s="11">
        <v>647</v>
      </c>
      <c r="B663" s="12">
        <v>46294</v>
      </c>
      <c r="C663" s="13" t="s">
        <v>1719</v>
      </c>
      <c r="D663" s="13" t="s">
        <v>123</v>
      </c>
      <c r="E663" s="13"/>
      <c r="F663" s="13" t="s">
        <v>1720</v>
      </c>
      <c r="G663" s="11" t="s">
        <v>39</v>
      </c>
      <c r="H663" s="11">
        <f>IFERROR(VLOOKUP(G663,Paramètres!$B$6:$F$8,2,FALSE()),"")</f>
        <v>5</v>
      </c>
      <c r="I663" s="13" t="s">
        <v>130</v>
      </c>
      <c r="J663" s="11" t="s">
        <v>48</v>
      </c>
      <c r="K663" s="12">
        <v>46294</v>
      </c>
      <c r="L663" s="12">
        <v>46294</v>
      </c>
      <c r="M663" s="13" t="s">
        <v>86</v>
      </c>
      <c r="N663" s="14" t="s">
        <v>186</v>
      </c>
      <c r="O663" s="12">
        <v>46303</v>
      </c>
      <c r="P663" s="11">
        <f t="shared" si="60"/>
        <v>9</v>
      </c>
      <c r="Q663" s="11" t="str">
        <f t="shared" ca="1" si="61"/>
        <v>-</v>
      </c>
      <c r="R663" s="11">
        <f>IFERROR(VLOOKUP(G663,Paramètres!$B$6:$F$8,3,FALSE()),"")</f>
        <v>2</v>
      </c>
      <c r="S663" s="11" t="str">
        <f t="shared" ca="1" si="62"/>
        <v>-</v>
      </c>
      <c r="T663" s="12">
        <v>46308</v>
      </c>
      <c r="U663" s="11">
        <f t="shared" si="63"/>
        <v>5</v>
      </c>
      <c r="V663" s="11">
        <f t="shared" si="64"/>
        <v>7</v>
      </c>
      <c r="W663" s="11" t="str">
        <f t="shared" si="65"/>
        <v>Hors délais</v>
      </c>
    </row>
    <row r="664" spans="1:23">
      <c r="A664" s="11">
        <v>648</v>
      </c>
      <c r="B664" s="12">
        <v>46295</v>
      </c>
      <c r="C664" s="13" t="s">
        <v>1721</v>
      </c>
      <c r="D664" s="13" t="s">
        <v>345</v>
      </c>
      <c r="E664" s="13"/>
      <c r="F664" s="13" t="s">
        <v>1722</v>
      </c>
      <c r="G664" s="11" t="s">
        <v>84</v>
      </c>
      <c r="H664" s="11">
        <f>IFERROR(VLOOKUP(G664,Paramètres!$B$6:$F$8,2,FALSE()),"")</f>
        <v>5</v>
      </c>
      <c r="I664" s="13" t="s">
        <v>190</v>
      </c>
      <c r="J664" s="11" t="s">
        <v>48</v>
      </c>
      <c r="K664" s="12">
        <v>46296</v>
      </c>
      <c r="L664" s="12">
        <v>46296</v>
      </c>
      <c r="M664" s="13" t="s">
        <v>56</v>
      </c>
      <c r="N664" s="14" t="s">
        <v>50</v>
      </c>
      <c r="O664" s="12">
        <v>46302</v>
      </c>
      <c r="P664" s="11">
        <f t="shared" si="60"/>
        <v>7</v>
      </c>
      <c r="Q664" s="11" t="str">
        <f t="shared" ca="1" si="61"/>
        <v>-</v>
      </c>
      <c r="R664" s="11">
        <f>IFERROR(VLOOKUP(G664,Paramètres!$B$6:$F$8,3,FALSE()),"")</f>
        <v>2</v>
      </c>
      <c r="S664" s="11" t="str">
        <f t="shared" ca="1" si="62"/>
        <v>-</v>
      </c>
      <c r="T664" s="12">
        <v>46307</v>
      </c>
      <c r="U664" s="11">
        <f t="shared" si="63"/>
        <v>5</v>
      </c>
      <c r="V664" s="11">
        <f t="shared" si="64"/>
        <v>5</v>
      </c>
      <c r="W664" s="11" t="str">
        <f t="shared" si="65"/>
        <v>Hors délais</v>
      </c>
    </row>
    <row r="665" spans="1:23">
      <c r="A665" s="11">
        <v>649</v>
      </c>
      <c r="B665" s="12">
        <v>46296</v>
      </c>
      <c r="C665" s="13" t="s">
        <v>1723</v>
      </c>
      <c r="D665" s="13" t="s">
        <v>37</v>
      </c>
      <c r="E665" s="13" t="s">
        <v>1724</v>
      </c>
      <c r="F665" s="13" t="s">
        <v>1725</v>
      </c>
      <c r="G665" s="11" t="s">
        <v>84</v>
      </c>
      <c r="H665" s="11">
        <f>IFERROR(VLOOKUP(G665,Paramètres!$B$6:$F$8,2,FALSE()),"")</f>
        <v>5</v>
      </c>
      <c r="I665" s="13" t="s">
        <v>190</v>
      </c>
      <c r="J665" s="11" t="s">
        <v>48</v>
      </c>
      <c r="K665" s="12">
        <v>46297</v>
      </c>
      <c r="L665" s="12">
        <v>46297</v>
      </c>
      <c r="M665" s="13" t="s">
        <v>61</v>
      </c>
      <c r="N665" s="14" t="s">
        <v>186</v>
      </c>
      <c r="O665" s="12">
        <v>46304</v>
      </c>
      <c r="P665" s="11">
        <f t="shared" si="60"/>
        <v>8</v>
      </c>
      <c r="Q665" s="11" t="str">
        <f t="shared" ca="1" si="61"/>
        <v>-</v>
      </c>
      <c r="R665" s="11">
        <f>IFERROR(VLOOKUP(G665,Paramètres!$B$6:$F$8,3,FALSE()),"")</f>
        <v>2</v>
      </c>
      <c r="S665" s="11" t="str">
        <f t="shared" ca="1" si="62"/>
        <v>-</v>
      </c>
      <c r="T665" s="12">
        <v>46304</v>
      </c>
      <c r="U665" s="11">
        <f t="shared" si="63"/>
        <v>0</v>
      </c>
      <c r="V665" s="11">
        <f t="shared" si="64"/>
        <v>1</v>
      </c>
      <c r="W665" s="11" t="str">
        <f t="shared" si="65"/>
        <v>Hors délais</v>
      </c>
    </row>
    <row r="666" spans="1:23">
      <c r="A666" s="11">
        <v>650</v>
      </c>
      <c r="B666" s="12">
        <v>46296</v>
      </c>
      <c r="C666" s="13" t="s">
        <v>1726</v>
      </c>
      <c r="D666" s="13" t="s">
        <v>123</v>
      </c>
      <c r="E666" s="13"/>
      <c r="F666" s="13" t="s">
        <v>1727</v>
      </c>
      <c r="G666" s="11" t="s">
        <v>39</v>
      </c>
      <c r="H666" s="11">
        <f>IFERROR(VLOOKUP(G666,Paramètres!$B$6:$F$8,2,FALSE()),"")</f>
        <v>5</v>
      </c>
      <c r="I666" s="13" t="s">
        <v>91</v>
      </c>
      <c r="J666" s="11" t="s">
        <v>41</v>
      </c>
      <c r="K666" s="12">
        <v>46296</v>
      </c>
      <c r="L666" s="12">
        <v>46296</v>
      </c>
      <c r="M666" s="13"/>
      <c r="N666" s="14" t="s">
        <v>87</v>
      </c>
      <c r="O666" s="12">
        <v>46301</v>
      </c>
      <c r="P666" s="11">
        <f t="shared" si="60"/>
        <v>5</v>
      </c>
      <c r="Q666" s="11" t="str">
        <f t="shared" ca="1" si="61"/>
        <v>-</v>
      </c>
      <c r="R666" s="11">
        <f>IFERROR(VLOOKUP(G666,Paramètres!$B$6:$F$8,3,FALSE()),"")</f>
        <v>2</v>
      </c>
      <c r="S666" s="11" t="str">
        <f t="shared" ca="1" si="62"/>
        <v>-</v>
      </c>
      <c r="T666" s="12">
        <v>46303</v>
      </c>
      <c r="U666" s="11">
        <f t="shared" si="63"/>
        <v>2</v>
      </c>
      <c r="V666" s="11">
        <f t="shared" si="64"/>
        <v>0</v>
      </c>
      <c r="W666" s="11" t="str">
        <f t="shared" si="65"/>
        <v>Dans les délais</v>
      </c>
    </row>
    <row r="667" spans="1:23">
      <c r="A667" s="11">
        <v>651</v>
      </c>
      <c r="B667" s="12">
        <v>46296</v>
      </c>
      <c r="C667" s="13" t="s">
        <v>1728</v>
      </c>
      <c r="D667" s="13" t="s">
        <v>248</v>
      </c>
      <c r="E667" s="13"/>
      <c r="F667" s="13" t="s">
        <v>1729</v>
      </c>
      <c r="G667" s="11" t="s">
        <v>84</v>
      </c>
      <c r="H667" s="11">
        <f>IFERROR(VLOOKUP(G667,Paramètres!$B$6:$F$8,2,FALSE()),"")</f>
        <v>5</v>
      </c>
      <c r="I667" s="13" t="s">
        <v>98</v>
      </c>
      <c r="J667" s="11" t="s">
        <v>41</v>
      </c>
      <c r="K667" s="12">
        <v>46297</v>
      </c>
      <c r="L667" s="12">
        <v>46297</v>
      </c>
      <c r="M667" s="13" t="s">
        <v>86</v>
      </c>
      <c r="N667" s="14" t="s">
        <v>76</v>
      </c>
      <c r="O667" s="12">
        <v>46304</v>
      </c>
      <c r="P667" s="11">
        <f t="shared" si="60"/>
        <v>8</v>
      </c>
      <c r="Q667" s="11" t="str">
        <f t="shared" ca="1" si="61"/>
        <v>-</v>
      </c>
      <c r="R667" s="11">
        <f>IFERROR(VLOOKUP(G667,Paramètres!$B$6:$F$8,3,FALSE()),"")</f>
        <v>2</v>
      </c>
      <c r="S667" s="11" t="str">
        <f t="shared" ca="1" si="62"/>
        <v>-</v>
      </c>
      <c r="T667" s="12">
        <v>46308</v>
      </c>
      <c r="U667" s="11">
        <f t="shared" si="63"/>
        <v>4</v>
      </c>
      <c r="V667" s="11">
        <f t="shared" si="64"/>
        <v>5</v>
      </c>
      <c r="W667" s="11" t="str">
        <f t="shared" si="65"/>
        <v>Hors délais</v>
      </c>
    </row>
    <row r="668" spans="1:23">
      <c r="A668" s="11">
        <v>652</v>
      </c>
      <c r="B668" s="12">
        <v>46296</v>
      </c>
      <c r="C668" s="13" t="s">
        <v>1730</v>
      </c>
      <c r="D668" s="13" t="s">
        <v>115</v>
      </c>
      <c r="E668" s="13" t="s">
        <v>1731</v>
      </c>
      <c r="F668" s="13" t="s">
        <v>1732</v>
      </c>
      <c r="G668" s="11" t="s">
        <v>39</v>
      </c>
      <c r="H668" s="11">
        <f>IFERROR(VLOOKUP(G668,Paramètres!$B$6:$F$8,2,FALSE()),"")</f>
        <v>5</v>
      </c>
      <c r="I668" s="13" t="s">
        <v>168</v>
      </c>
      <c r="J668" s="11" t="s">
        <v>48</v>
      </c>
      <c r="K668" s="12">
        <v>46297</v>
      </c>
      <c r="L668" s="12">
        <v>46297</v>
      </c>
      <c r="M668" s="13" t="s">
        <v>42</v>
      </c>
      <c r="N668" s="14" t="s">
        <v>186</v>
      </c>
      <c r="O668" s="12">
        <v>46301</v>
      </c>
      <c r="P668" s="11">
        <f t="shared" si="60"/>
        <v>5</v>
      </c>
      <c r="Q668" s="11" t="str">
        <f t="shared" ca="1" si="61"/>
        <v>-</v>
      </c>
      <c r="R668" s="11">
        <f>IFERROR(VLOOKUP(G668,Paramètres!$B$6:$F$8,3,FALSE()),"")</f>
        <v>2</v>
      </c>
      <c r="S668" s="11" t="str">
        <f t="shared" ca="1" si="62"/>
        <v>-</v>
      </c>
      <c r="T668" s="12">
        <v>46303</v>
      </c>
      <c r="U668" s="11">
        <f t="shared" si="63"/>
        <v>2</v>
      </c>
      <c r="V668" s="11">
        <f t="shared" si="64"/>
        <v>0</v>
      </c>
      <c r="W668" s="11" t="str">
        <f t="shared" si="65"/>
        <v>Dans les délais</v>
      </c>
    </row>
    <row r="669" spans="1:23">
      <c r="A669" s="11">
        <v>653</v>
      </c>
      <c r="B669" s="12">
        <v>46297</v>
      </c>
      <c r="C669" s="13" t="s">
        <v>1733</v>
      </c>
      <c r="D669" s="13" t="s">
        <v>178</v>
      </c>
      <c r="E669" s="13"/>
      <c r="F669" s="13" t="s">
        <v>1734</v>
      </c>
      <c r="G669" s="11" t="s">
        <v>39</v>
      </c>
      <c r="H669" s="11">
        <f>IFERROR(VLOOKUP(G669,Paramètres!$B$6:$F$8,2,FALSE()),"")</f>
        <v>5</v>
      </c>
      <c r="I669" s="13" t="s">
        <v>94</v>
      </c>
      <c r="J669" s="11" t="s">
        <v>55</v>
      </c>
      <c r="K669" s="12">
        <v>46297</v>
      </c>
      <c r="L669" s="12">
        <v>46300</v>
      </c>
      <c r="M669" s="13" t="s">
        <v>56</v>
      </c>
      <c r="N669" s="14" t="s">
        <v>66</v>
      </c>
      <c r="O669" s="12">
        <v>46304</v>
      </c>
      <c r="P669" s="11">
        <f t="shared" si="60"/>
        <v>7</v>
      </c>
      <c r="Q669" s="11" t="str">
        <f t="shared" ca="1" si="61"/>
        <v>-</v>
      </c>
      <c r="R669" s="11">
        <f>IFERROR(VLOOKUP(G669,Paramètres!$B$6:$F$8,3,FALSE()),"")</f>
        <v>2</v>
      </c>
      <c r="S669" s="11" t="str">
        <f t="shared" ca="1" si="62"/>
        <v>-</v>
      </c>
      <c r="T669" s="12">
        <v>46304</v>
      </c>
      <c r="U669" s="11">
        <f t="shared" si="63"/>
        <v>0</v>
      </c>
      <c r="V669" s="11">
        <f t="shared" si="64"/>
        <v>0</v>
      </c>
      <c r="W669" s="11" t="str">
        <f t="shared" si="65"/>
        <v>Dans les délais</v>
      </c>
    </row>
    <row r="670" spans="1:23">
      <c r="A670" s="11">
        <v>654</v>
      </c>
      <c r="B670" s="12">
        <v>46297</v>
      </c>
      <c r="C670" s="13" t="s">
        <v>1735</v>
      </c>
      <c r="D670" s="13" t="s">
        <v>89</v>
      </c>
      <c r="E670" s="13" t="s">
        <v>1736</v>
      </c>
      <c r="F670" s="13" t="s">
        <v>1737</v>
      </c>
      <c r="G670" s="11" t="s">
        <v>39</v>
      </c>
      <c r="H670" s="11">
        <f>IFERROR(VLOOKUP(G670,Paramètres!$B$6:$F$8,2,FALSE()),"")</f>
        <v>5</v>
      </c>
      <c r="I670" s="13" t="s">
        <v>108</v>
      </c>
      <c r="J670" s="11" t="s">
        <v>55</v>
      </c>
      <c r="K670" s="12">
        <v>46300</v>
      </c>
      <c r="L670" s="12">
        <v>46300</v>
      </c>
      <c r="M670" s="13" t="s">
        <v>86</v>
      </c>
      <c r="N670" s="14" t="s">
        <v>57</v>
      </c>
      <c r="O670" s="12">
        <v>46303</v>
      </c>
      <c r="P670" s="11">
        <f t="shared" si="60"/>
        <v>6</v>
      </c>
      <c r="Q670" s="11" t="str">
        <f t="shared" ca="1" si="61"/>
        <v>-</v>
      </c>
      <c r="R670" s="11">
        <f>IFERROR(VLOOKUP(G670,Paramètres!$B$6:$F$8,3,FALSE()),"")</f>
        <v>2</v>
      </c>
      <c r="S670" s="11" t="str">
        <f t="shared" ca="1" si="62"/>
        <v>-</v>
      </c>
      <c r="T670" s="12">
        <v>46304</v>
      </c>
      <c r="U670" s="11">
        <f t="shared" si="63"/>
        <v>1</v>
      </c>
      <c r="V670" s="11">
        <f t="shared" si="64"/>
        <v>0</v>
      </c>
      <c r="W670" s="11" t="str">
        <f t="shared" si="65"/>
        <v>Dans les délais</v>
      </c>
    </row>
    <row r="671" spans="1:23">
      <c r="A671" s="11">
        <v>655</v>
      </c>
      <c r="B671" s="12">
        <v>46297</v>
      </c>
      <c r="C671" s="13" t="s">
        <v>1738</v>
      </c>
      <c r="D671" s="13" t="s">
        <v>96</v>
      </c>
      <c r="E671" s="13"/>
      <c r="F671" s="13" t="s">
        <v>1739</v>
      </c>
      <c r="G671" s="11" t="s">
        <v>39</v>
      </c>
      <c r="H671" s="11">
        <f>IFERROR(VLOOKUP(G671,Paramètres!$B$6:$F$8,2,FALSE()),"")</f>
        <v>5</v>
      </c>
      <c r="I671" s="13" t="s">
        <v>108</v>
      </c>
      <c r="J671" s="11" t="s">
        <v>55</v>
      </c>
      <c r="K671" s="12">
        <v>46300</v>
      </c>
      <c r="L671" s="12">
        <v>46301</v>
      </c>
      <c r="M671" s="13" t="s">
        <v>86</v>
      </c>
      <c r="N671" s="14" t="s">
        <v>66</v>
      </c>
      <c r="O671" s="12"/>
      <c r="P671" s="11" t="str">
        <f t="shared" si="60"/>
        <v/>
      </c>
      <c r="Q671" s="11" t="str">
        <f t="shared" ca="1" si="61"/>
        <v>ROUGE</v>
      </c>
      <c r="R671" s="11">
        <f>IFERROR(VLOOKUP(G671,Paramètres!$B$6:$F$8,3,FALSE()),"")</f>
        <v>2</v>
      </c>
      <c r="S671" s="11" t="str">
        <f t="shared" ca="1" si="62"/>
        <v/>
      </c>
      <c r="T671" s="12"/>
      <c r="U671" s="11" t="str">
        <f t="shared" si="63"/>
        <v/>
      </c>
      <c r="V671" s="11" t="str">
        <f t="shared" si="64"/>
        <v/>
      </c>
      <c r="W671" s="11" t="str">
        <f t="shared" si="65"/>
        <v/>
      </c>
    </row>
    <row r="672" spans="1:23">
      <c r="A672" s="11">
        <v>656</v>
      </c>
      <c r="B672" s="12">
        <v>46300</v>
      </c>
      <c r="C672" s="13" t="s">
        <v>1740</v>
      </c>
      <c r="D672" s="13" t="s">
        <v>345</v>
      </c>
      <c r="E672" s="13" t="s">
        <v>1741</v>
      </c>
      <c r="F672" s="13" t="s">
        <v>1742</v>
      </c>
      <c r="G672" s="11" t="s">
        <v>39</v>
      </c>
      <c r="H672" s="11">
        <f>IFERROR(VLOOKUP(G672,Paramètres!$B$6:$F$8,2,FALSE()),"")</f>
        <v>5</v>
      </c>
      <c r="I672" s="13" t="s">
        <v>40</v>
      </c>
      <c r="J672" s="11" t="s">
        <v>41</v>
      </c>
      <c r="K672" s="12">
        <v>46300</v>
      </c>
      <c r="L672" s="12">
        <v>46300</v>
      </c>
      <c r="M672" s="13" t="s">
        <v>61</v>
      </c>
      <c r="N672" s="14" t="s">
        <v>43</v>
      </c>
      <c r="O672" s="12">
        <v>46316</v>
      </c>
      <c r="P672" s="11">
        <f t="shared" si="60"/>
        <v>16</v>
      </c>
      <c r="Q672" s="11" t="str">
        <f t="shared" ca="1" si="61"/>
        <v>-</v>
      </c>
      <c r="R672" s="11">
        <f>IFERROR(VLOOKUP(G672,Paramètres!$B$6:$F$8,3,FALSE()),"")</f>
        <v>2</v>
      </c>
      <c r="S672" s="11" t="str">
        <f t="shared" ca="1" si="62"/>
        <v>-</v>
      </c>
      <c r="T672" s="12">
        <v>46318</v>
      </c>
      <c r="U672" s="11">
        <f t="shared" si="63"/>
        <v>2</v>
      </c>
      <c r="V672" s="11">
        <f t="shared" si="64"/>
        <v>11</v>
      </c>
      <c r="W672" s="11" t="str">
        <f t="shared" si="65"/>
        <v>Hors délais</v>
      </c>
    </row>
    <row r="673" spans="1:23" ht="28.5">
      <c r="A673" s="11">
        <v>657</v>
      </c>
      <c r="B673" s="12">
        <v>46300</v>
      </c>
      <c r="C673" s="13" t="s">
        <v>1743</v>
      </c>
      <c r="D673" s="13" t="s">
        <v>248</v>
      </c>
      <c r="E673" s="13"/>
      <c r="F673" s="13" t="s">
        <v>1744</v>
      </c>
      <c r="G673" s="11" t="s">
        <v>84</v>
      </c>
      <c r="H673" s="11">
        <f>IFERROR(VLOOKUP(G673,Paramètres!$B$6:$F$8,2,FALSE()),"")</f>
        <v>5</v>
      </c>
      <c r="I673" s="13" t="s">
        <v>85</v>
      </c>
      <c r="J673" s="11" t="s">
        <v>41</v>
      </c>
      <c r="K673" s="12">
        <v>46300</v>
      </c>
      <c r="L673" s="12">
        <v>46300</v>
      </c>
      <c r="M673" s="13" t="s">
        <v>75</v>
      </c>
      <c r="N673" s="14" t="s">
        <v>43</v>
      </c>
      <c r="O673" s="12">
        <v>46304</v>
      </c>
      <c r="P673" s="11">
        <f t="shared" si="60"/>
        <v>4</v>
      </c>
      <c r="Q673" s="11" t="str">
        <f t="shared" ca="1" si="61"/>
        <v>-</v>
      </c>
      <c r="R673" s="11">
        <f>IFERROR(VLOOKUP(G673,Paramètres!$B$6:$F$8,3,FALSE()),"")</f>
        <v>2</v>
      </c>
      <c r="S673" s="11" t="str">
        <f t="shared" ca="1" si="62"/>
        <v>-</v>
      </c>
      <c r="T673" s="12">
        <v>46308</v>
      </c>
      <c r="U673" s="11">
        <f t="shared" si="63"/>
        <v>4</v>
      </c>
      <c r="V673" s="11">
        <f t="shared" si="64"/>
        <v>1</v>
      </c>
      <c r="W673" s="11" t="str">
        <f t="shared" si="65"/>
        <v>Hors délais</v>
      </c>
    </row>
    <row r="674" spans="1:23">
      <c r="A674" s="11">
        <v>658</v>
      </c>
      <c r="B674" s="12">
        <v>46301</v>
      </c>
      <c r="C674" s="13" t="s">
        <v>1745</v>
      </c>
      <c r="D674" s="13" t="s">
        <v>59</v>
      </c>
      <c r="E674" s="13" t="s">
        <v>1746</v>
      </c>
      <c r="F674" s="13" t="s">
        <v>1747</v>
      </c>
      <c r="G674" s="11" t="s">
        <v>53</v>
      </c>
      <c r="H674" s="11" t="str">
        <f>IFERROR(VLOOKUP(G674,Paramètres!$B$6:$F$8,2,FALSE()),"")</f>
        <v>N/A</v>
      </c>
      <c r="I674" s="13" t="s">
        <v>40</v>
      </c>
      <c r="J674" s="11" t="s">
        <v>41</v>
      </c>
      <c r="K674" s="12">
        <v>46301</v>
      </c>
      <c r="L674" s="12">
        <v>46302</v>
      </c>
      <c r="M674" s="13" t="s">
        <v>42</v>
      </c>
      <c r="N674" s="14" t="s">
        <v>87</v>
      </c>
      <c r="O674" s="12"/>
      <c r="P674" s="11" t="str">
        <f t="shared" si="60"/>
        <v>-</v>
      </c>
      <c r="Q674" s="11" t="str">
        <f t="shared" ca="1" si="61"/>
        <v>-</v>
      </c>
      <c r="R674" s="11" t="str">
        <f>IFERROR(VLOOKUP(G674,Paramètres!$B$6:$F$8,3,FALSE()),"")</f>
        <v>N/A</v>
      </c>
      <c r="S674" s="11" t="str">
        <f t="shared" ca="1" si="62"/>
        <v>-</v>
      </c>
      <c r="T674" s="12"/>
      <c r="U674" s="11" t="str">
        <f t="shared" si="63"/>
        <v>-</v>
      </c>
      <c r="V674" s="11" t="str">
        <f t="shared" si="64"/>
        <v>-</v>
      </c>
      <c r="W674" s="11" t="str">
        <f t="shared" si="65"/>
        <v>Ne nécessite pas de réponse</v>
      </c>
    </row>
    <row r="675" spans="1:23">
      <c r="A675" s="11">
        <v>659</v>
      </c>
      <c r="B675" s="12">
        <v>46301</v>
      </c>
      <c r="C675" s="13" t="s">
        <v>1748</v>
      </c>
      <c r="D675" s="13" t="s">
        <v>104</v>
      </c>
      <c r="E675" s="13"/>
      <c r="F675" s="13" t="s">
        <v>1749</v>
      </c>
      <c r="G675" s="11" t="s">
        <v>84</v>
      </c>
      <c r="H675" s="11">
        <f>IFERROR(VLOOKUP(G675,Paramètres!$B$6:$F$8,2,FALSE()),"")</f>
        <v>5</v>
      </c>
      <c r="I675" s="13" t="s">
        <v>108</v>
      </c>
      <c r="J675" s="11" t="s">
        <v>55</v>
      </c>
      <c r="K675" s="12">
        <v>46302</v>
      </c>
      <c r="L675" s="12">
        <v>46302</v>
      </c>
      <c r="M675" s="13" t="s">
        <v>49</v>
      </c>
      <c r="N675" s="14" t="s">
        <v>57</v>
      </c>
      <c r="O675" s="12">
        <v>46307</v>
      </c>
      <c r="P675" s="11">
        <f t="shared" si="60"/>
        <v>6</v>
      </c>
      <c r="Q675" s="11" t="str">
        <f t="shared" ca="1" si="61"/>
        <v>-</v>
      </c>
      <c r="R675" s="11">
        <f>IFERROR(VLOOKUP(G675,Paramètres!$B$6:$F$8,3,FALSE()),"")</f>
        <v>2</v>
      </c>
      <c r="S675" s="11" t="str">
        <f t="shared" ca="1" si="62"/>
        <v>-</v>
      </c>
      <c r="T675" s="12">
        <v>46310</v>
      </c>
      <c r="U675" s="11">
        <f t="shared" si="63"/>
        <v>3</v>
      </c>
      <c r="V675" s="11">
        <f t="shared" si="64"/>
        <v>2</v>
      </c>
      <c r="W675" s="11" t="str">
        <f t="shared" si="65"/>
        <v>Hors délais</v>
      </c>
    </row>
    <row r="676" spans="1:23">
      <c r="A676" s="11">
        <v>660</v>
      </c>
      <c r="B676" s="12">
        <v>46301</v>
      </c>
      <c r="C676" s="13" t="s">
        <v>1750</v>
      </c>
      <c r="D676" s="13" t="s">
        <v>104</v>
      </c>
      <c r="E676" s="13" t="s">
        <v>1751</v>
      </c>
      <c r="F676" s="13" t="s">
        <v>1752</v>
      </c>
      <c r="G676" s="11" t="s">
        <v>39</v>
      </c>
      <c r="H676" s="11">
        <f>IFERROR(VLOOKUP(G676,Paramètres!$B$6:$F$8,2,FALSE()),"")</f>
        <v>5</v>
      </c>
      <c r="I676" s="13" t="s">
        <v>120</v>
      </c>
      <c r="J676" s="11" t="s">
        <v>48</v>
      </c>
      <c r="K676" s="12">
        <v>46301</v>
      </c>
      <c r="L676" s="12">
        <v>46301</v>
      </c>
      <c r="M676" s="13" t="s">
        <v>42</v>
      </c>
      <c r="N676" s="14" t="s">
        <v>121</v>
      </c>
      <c r="O676" s="12">
        <v>46303</v>
      </c>
      <c r="P676" s="11">
        <f t="shared" si="60"/>
        <v>2</v>
      </c>
      <c r="Q676" s="11" t="str">
        <f t="shared" ca="1" si="61"/>
        <v>-</v>
      </c>
      <c r="R676" s="11">
        <f>IFERROR(VLOOKUP(G676,Paramètres!$B$6:$F$8,3,FALSE()),"")</f>
        <v>2</v>
      </c>
      <c r="S676" s="11" t="str">
        <f t="shared" ca="1" si="62"/>
        <v>-</v>
      </c>
      <c r="T676" s="12">
        <v>46304</v>
      </c>
      <c r="U676" s="11">
        <f t="shared" si="63"/>
        <v>1</v>
      </c>
      <c r="V676" s="11">
        <f t="shared" si="64"/>
        <v>-4</v>
      </c>
      <c r="W676" s="11" t="str">
        <f t="shared" si="65"/>
        <v>Dans les délais</v>
      </c>
    </row>
    <row r="677" spans="1:23">
      <c r="A677" s="11">
        <v>661</v>
      </c>
      <c r="B677" s="12">
        <v>46302</v>
      </c>
      <c r="C677" s="13" t="s">
        <v>1753</v>
      </c>
      <c r="D677" s="13" t="s">
        <v>37</v>
      </c>
      <c r="E677" s="13" t="s">
        <v>1754</v>
      </c>
      <c r="F677" s="13" t="s">
        <v>1755</v>
      </c>
      <c r="G677" s="11" t="s">
        <v>39</v>
      </c>
      <c r="H677" s="11">
        <f>IFERROR(VLOOKUP(G677,Paramètres!$B$6:$F$8,2,FALSE()),"")</f>
        <v>5</v>
      </c>
      <c r="I677" s="13" t="s">
        <v>108</v>
      </c>
      <c r="J677" s="11" t="s">
        <v>55</v>
      </c>
      <c r="K677" s="12">
        <v>46302</v>
      </c>
      <c r="L677" s="12">
        <v>46302</v>
      </c>
      <c r="M677" s="13"/>
      <c r="N677" s="14" t="s">
        <v>66</v>
      </c>
      <c r="O677" s="12">
        <v>46308</v>
      </c>
      <c r="P677" s="11">
        <f t="shared" si="60"/>
        <v>6</v>
      </c>
      <c r="Q677" s="11" t="str">
        <f t="shared" ca="1" si="61"/>
        <v>-</v>
      </c>
      <c r="R677" s="11">
        <f>IFERROR(VLOOKUP(G677,Paramètres!$B$6:$F$8,3,FALSE()),"")</f>
        <v>2</v>
      </c>
      <c r="S677" s="11" t="str">
        <f t="shared" ca="1" si="62"/>
        <v>-</v>
      </c>
      <c r="T677" s="12">
        <v>46315</v>
      </c>
      <c r="U677" s="11">
        <f t="shared" si="63"/>
        <v>7</v>
      </c>
      <c r="V677" s="11">
        <f t="shared" si="64"/>
        <v>6</v>
      </c>
      <c r="W677" s="11" t="str">
        <f t="shared" si="65"/>
        <v>Hors délais</v>
      </c>
    </row>
    <row r="678" spans="1:23" ht="28.5">
      <c r="A678" s="11">
        <v>662</v>
      </c>
      <c r="B678" s="12">
        <v>46302</v>
      </c>
      <c r="C678" s="13" t="s">
        <v>1756</v>
      </c>
      <c r="D678" s="13" t="s">
        <v>100</v>
      </c>
      <c r="E678" s="13" t="s">
        <v>1757</v>
      </c>
      <c r="F678" s="13" t="s">
        <v>1758</v>
      </c>
      <c r="G678" s="11" t="s">
        <v>39</v>
      </c>
      <c r="H678" s="11">
        <f>IFERROR(VLOOKUP(G678,Paramètres!$B$6:$F$8,2,FALSE()),"")</f>
        <v>5</v>
      </c>
      <c r="I678" s="13" t="s">
        <v>190</v>
      </c>
      <c r="J678" s="11" t="s">
        <v>48</v>
      </c>
      <c r="K678" s="12">
        <v>46302</v>
      </c>
      <c r="L678" s="12">
        <v>46303</v>
      </c>
      <c r="M678" s="13" t="s">
        <v>75</v>
      </c>
      <c r="N678" s="14" t="s">
        <v>121</v>
      </c>
      <c r="O678" s="12">
        <v>46307</v>
      </c>
      <c r="P678" s="11">
        <f t="shared" si="60"/>
        <v>5</v>
      </c>
      <c r="Q678" s="11" t="str">
        <f t="shared" ca="1" si="61"/>
        <v>-</v>
      </c>
      <c r="R678" s="11">
        <f>IFERROR(VLOOKUP(G678,Paramètres!$B$6:$F$8,3,FALSE()),"")</f>
        <v>2</v>
      </c>
      <c r="S678" s="11" t="str">
        <f t="shared" ca="1" si="62"/>
        <v>-</v>
      </c>
      <c r="T678" s="12">
        <v>46308</v>
      </c>
      <c r="U678" s="11">
        <f t="shared" si="63"/>
        <v>1</v>
      </c>
      <c r="V678" s="11">
        <f t="shared" si="64"/>
        <v>-1</v>
      </c>
      <c r="W678" s="11" t="str">
        <f t="shared" si="65"/>
        <v>Dans les délais</v>
      </c>
    </row>
    <row r="679" spans="1:23">
      <c r="A679" s="11">
        <v>663</v>
      </c>
      <c r="B679" s="12">
        <v>46302</v>
      </c>
      <c r="C679" s="13" t="s">
        <v>1759</v>
      </c>
      <c r="D679" s="13" t="s">
        <v>178</v>
      </c>
      <c r="E679" s="13"/>
      <c r="F679" s="13" t="s">
        <v>1760</v>
      </c>
      <c r="G679" s="11" t="s">
        <v>39</v>
      </c>
      <c r="H679" s="11">
        <f>IFERROR(VLOOKUP(G679,Paramètres!$B$6:$F$8,2,FALSE()),"")</f>
        <v>5</v>
      </c>
      <c r="I679" s="13" t="s">
        <v>240</v>
      </c>
      <c r="J679" s="11" t="s">
        <v>55</v>
      </c>
      <c r="K679" s="12">
        <v>46302</v>
      </c>
      <c r="L679" s="12">
        <v>46303</v>
      </c>
      <c r="M679" s="13" t="s">
        <v>49</v>
      </c>
      <c r="N679" s="14" t="s">
        <v>66</v>
      </c>
      <c r="O679" s="12">
        <v>46308</v>
      </c>
      <c r="P679" s="11">
        <f t="shared" si="60"/>
        <v>6</v>
      </c>
      <c r="Q679" s="11" t="str">
        <f t="shared" ca="1" si="61"/>
        <v>-</v>
      </c>
      <c r="R679" s="11">
        <f>IFERROR(VLOOKUP(G679,Paramètres!$B$6:$F$8,3,FALSE()),"")</f>
        <v>2</v>
      </c>
      <c r="S679" s="11" t="str">
        <f t="shared" ca="1" si="62"/>
        <v>-</v>
      </c>
      <c r="T679" s="12">
        <v>46309</v>
      </c>
      <c r="U679" s="11">
        <f t="shared" si="63"/>
        <v>1</v>
      </c>
      <c r="V679" s="11">
        <f t="shared" si="64"/>
        <v>0</v>
      </c>
      <c r="W679" s="11" t="str">
        <f t="shared" si="65"/>
        <v>Dans les délais</v>
      </c>
    </row>
    <row r="680" spans="1:23">
      <c r="A680" s="11">
        <v>664</v>
      </c>
      <c r="B680" s="12">
        <v>46304</v>
      </c>
      <c r="C680" s="13" t="s">
        <v>1761</v>
      </c>
      <c r="D680" s="13" t="s">
        <v>145</v>
      </c>
      <c r="E680" s="13"/>
      <c r="F680" s="13" t="s">
        <v>1762</v>
      </c>
      <c r="G680" s="11" t="s">
        <v>39</v>
      </c>
      <c r="H680" s="11">
        <f>IFERROR(VLOOKUP(G680,Paramètres!$B$6:$F$8,2,FALSE()),"")</f>
        <v>5</v>
      </c>
      <c r="I680" s="13" t="s">
        <v>54</v>
      </c>
      <c r="J680" s="11" t="s">
        <v>55</v>
      </c>
      <c r="K680" s="12">
        <v>46304</v>
      </c>
      <c r="L680" s="12">
        <v>46304</v>
      </c>
      <c r="M680" s="13" t="s">
        <v>56</v>
      </c>
      <c r="N680" s="14" t="s">
        <v>57</v>
      </c>
      <c r="O680" s="12">
        <v>46317</v>
      </c>
      <c r="P680" s="11">
        <f t="shared" si="60"/>
        <v>13</v>
      </c>
      <c r="Q680" s="11" t="str">
        <f t="shared" ca="1" si="61"/>
        <v>-</v>
      </c>
      <c r="R680" s="11">
        <f>IFERROR(VLOOKUP(G680,Paramètres!$B$6:$F$8,3,FALSE()),"")</f>
        <v>2</v>
      </c>
      <c r="S680" s="11" t="str">
        <f t="shared" ca="1" si="62"/>
        <v>-</v>
      </c>
      <c r="T680" s="12">
        <v>46321</v>
      </c>
      <c r="U680" s="11">
        <f t="shared" si="63"/>
        <v>4</v>
      </c>
      <c r="V680" s="11">
        <f t="shared" si="64"/>
        <v>10</v>
      </c>
      <c r="W680" s="11" t="str">
        <f t="shared" si="65"/>
        <v>Hors délais</v>
      </c>
    </row>
    <row r="681" spans="1:23">
      <c r="A681" s="11">
        <v>665</v>
      </c>
      <c r="B681" s="12">
        <v>46304</v>
      </c>
      <c r="C681" s="13" t="s">
        <v>1763</v>
      </c>
      <c r="D681" s="13" t="s">
        <v>37</v>
      </c>
      <c r="E681" s="13" t="s">
        <v>1764</v>
      </c>
      <c r="F681" s="13" t="s">
        <v>1765</v>
      </c>
      <c r="G681" s="11" t="s">
        <v>39</v>
      </c>
      <c r="H681" s="11">
        <f>IFERROR(VLOOKUP(G681,Paramètres!$B$6:$F$8,2,FALSE()),"")</f>
        <v>5</v>
      </c>
      <c r="I681" s="13" t="s">
        <v>74</v>
      </c>
      <c r="J681" s="11" t="s">
        <v>41</v>
      </c>
      <c r="K681" s="12">
        <v>46304</v>
      </c>
      <c r="L681" s="12">
        <v>46304</v>
      </c>
      <c r="M681" s="13" t="s">
        <v>42</v>
      </c>
      <c r="N681" s="14" t="s">
        <v>76</v>
      </c>
      <c r="O681" s="12">
        <v>46310</v>
      </c>
      <c r="P681" s="11">
        <f t="shared" si="60"/>
        <v>6</v>
      </c>
      <c r="Q681" s="11" t="str">
        <f t="shared" ca="1" si="61"/>
        <v>-</v>
      </c>
      <c r="R681" s="11">
        <f>IFERROR(VLOOKUP(G681,Paramètres!$B$6:$F$8,3,FALSE()),"")</f>
        <v>2</v>
      </c>
      <c r="S681" s="11" t="str">
        <f t="shared" ca="1" si="62"/>
        <v>-</v>
      </c>
      <c r="T681" s="12">
        <v>46314</v>
      </c>
      <c r="U681" s="11">
        <f t="shared" si="63"/>
        <v>4</v>
      </c>
      <c r="V681" s="11">
        <f t="shared" si="64"/>
        <v>3</v>
      </c>
      <c r="W681" s="11" t="str">
        <f t="shared" si="65"/>
        <v>Hors délais</v>
      </c>
    </row>
    <row r="682" spans="1:23">
      <c r="A682" s="11">
        <v>666</v>
      </c>
      <c r="B682" s="12">
        <v>46304</v>
      </c>
      <c r="C682" s="13" t="s">
        <v>1766</v>
      </c>
      <c r="D682" s="13" t="s">
        <v>96</v>
      </c>
      <c r="E682" s="13" t="s">
        <v>1767</v>
      </c>
      <c r="F682" s="13" t="s">
        <v>1768</v>
      </c>
      <c r="G682" s="11" t="s">
        <v>39</v>
      </c>
      <c r="H682" s="11">
        <f>IFERROR(VLOOKUP(G682,Paramètres!$B$6:$F$8,2,FALSE()),"")</f>
        <v>5</v>
      </c>
      <c r="I682" s="13" t="s">
        <v>190</v>
      </c>
      <c r="J682" s="11" t="s">
        <v>48</v>
      </c>
      <c r="K682" s="12">
        <v>46307</v>
      </c>
      <c r="L682" s="12">
        <v>46307</v>
      </c>
      <c r="M682" s="13" t="s">
        <v>61</v>
      </c>
      <c r="N682" s="14" t="s">
        <v>50</v>
      </c>
      <c r="O682" s="12">
        <v>46309</v>
      </c>
      <c r="P682" s="11">
        <f t="shared" si="60"/>
        <v>5</v>
      </c>
      <c r="Q682" s="11" t="str">
        <f t="shared" ca="1" si="61"/>
        <v>-</v>
      </c>
      <c r="R682" s="11">
        <f>IFERROR(VLOOKUP(G682,Paramètres!$B$6:$F$8,3,FALSE()),"")</f>
        <v>2</v>
      </c>
      <c r="S682" s="11" t="str">
        <f t="shared" ca="1" si="62"/>
        <v>-</v>
      </c>
      <c r="T682" s="12">
        <v>46311</v>
      </c>
      <c r="U682" s="11">
        <f t="shared" si="63"/>
        <v>2</v>
      </c>
      <c r="V682" s="11">
        <f t="shared" si="64"/>
        <v>0</v>
      </c>
      <c r="W682" s="11" t="str">
        <f t="shared" si="65"/>
        <v>Dans les délais</v>
      </c>
    </row>
    <row r="683" spans="1:23">
      <c r="A683" s="11">
        <v>667</v>
      </c>
      <c r="B683" s="12">
        <v>46307</v>
      </c>
      <c r="C683" s="13" t="s">
        <v>1769</v>
      </c>
      <c r="D683" s="13" t="s">
        <v>175</v>
      </c>
      <c r="E683" s="13"/>
      <c r="F683" s="13" t="s">
        <v>1770</v>
      </c>
      <c r="G683" s="11" t="s">
        <v>53</v>
      </c>
      <c r="H683" s="11" t="str">
        <f>IFERROR(VLOOKUP(G683,Paramètres!$B$6:$F$8,2,FALSE()),"")</f>
        <v>N/A</v>
      </c>
      <c r="I683" s="13" t="s">
        <v>232</v>
      </c>
      <c r="J683" s="11" t="s">
        <v>55</v>
      </c>
      <c r="K683" s="12">
        <v>46307</v>
      </c>
      <c r="L683" s="12">
        <v>46308</v>
      </c>
      <c r="M683" s="13"/>
      <c r="N683" s="14" t="s">
        <v>102</v>
      </c>
      <c r="O683" s="12"/>
      <c r="P683" s="11" t="str">
        <f t="shared" si="60"/>
        <v>-</v>
      </c>
      <c r="Q683" s="11" t="str">
        <f t="shared" ca="1" si="61"/>
        <v>-</v>
      </c>
      <c r="R683" s="11" t="str">
        <f>IFERROR(VLOOKUP(G683,Paramètres!$B$6:$F$8,3,FALSE()),"")</f>
        <v>N/A</v>
      </c>
      <c r="S683" s="11" t="str">
        <f t="shared" ca="1" si="62"/>
        <v>-</v>
      </c>
      <c r="T683" s="12"/>
      <c r="U683" s="11" t="str">
        <f t="shared" si="63"/>
        <v>-</v>
      </c>
      <c r="V683" s="11" t="str">
        <f t="shared" si="64"/>
        <v>-</v>
      </c>
      <c r="W683" s="11" t="str">
        <f t="shared" si="65"/>
        <v>Ne nécessite pas de réponse</v>
      </c>
    </row>
    <row r="684" spans="1:23">
      <c r="A684" s="11">
        <v>668</v>
      </c>
      <c r="B684" s="12">
        <v>46307</v>
      </c>
      <c r="C684" s="13" t="s">
        <v>1771</v>
      </c>
      <c r="D684" s="13" t="s">
        <v>230</v>
      </c>
      <c r="E684" s="13" t="s">
        <v>1772</v>
      </c>
      <c r="F684" s="13" t="s">
        <v>1773</v>
      </c>
      <c r="G684" s="11" t="s">
        <v>53</v>
      </c>
      <c r="H684" s="11" t="str">
        <f>IFERROR(VLOOKUP(G684,Paramètres!$B$6:$F$8,2,FALSE()),"")</f>
        <v>N/A</v>
      </c>
      <c r="I684" s="13" t="s">
        <v>426</v>
      </c>
      <c r="J684" s="11" t="s">
        <v>41</v>
      </c>
      <c r="K684" s="12">
        <v>46307</v>
      </c>
      <c r="L684" s="12">
        <v>46308</v>
      </c>
      <c r="M684" s="13" t="s">
        <v>49</v>
      </c>
      <c r="N684" s="14" t="s">
        <v>43</v>
      </c>
      <c r="O684" s="12"/>
      <c r="P684" s="11" t="str">
        <f t="shared" si="60"/>
        <v>-</v>
      </c>
      <c r="Q684" s="11" t="str">
        <f t="shared" ca="1" si="61"/>
        <v>-</v>
      </c>
      <c r="R684" s="11" t="str">
        <f>IFERROR(VLOOKUP(G684,Paramètres!$B$6:$F$8,3,FALSE()),"")</f>
        <v>N/A</v>
      </c>
      <c r="S684" s="11" t="str">
        <f t="shared" ca="1" si="62"/>
        <v>-</v>
      </c>
      <c r="T684" s="12"/>
      <c r="U684" s="11" t="str">
        <f t="shared" si="63"/>
        <v>-</v>
      </c>
      <c r="V684" s="11" t="str">
        <f t="shared" si="64"/>
        <v>-</v>
      </c>
      <c r="W684" s="11" t="str">
        <f t="shared" si="65"/>
        <v>Ne nécessite pas de réponse</v>
      </c>
    </row>
    <row r="685" spans="1:23">
      <c r="A685" s="11">
        <v>669</v>
      </c>
      <c r="B685" s="12">
        <v>46307</v>
      </c>
      <c r="C685" s="13" t="s">
        <v>1774</v>
      </c>
      <c r="D685" s="13" t="s">
        <v>89</v>
      </c>
      <c r="E685" s="13" t="s">
        <v>1775</v>
      </c>
      <c r="F685" s="13" t="s">
        <v>1776</v>
      </c>
      <c r="G685" s="11" t="s">
        <v>39</v>
      </c>
      <c r="H685" s="11">
        <f>IFERROR(VLOOKUP(G685,Paramètres!$B$6:$F$8,2,FALSE()),"")</f>
        <v>5</v>
      </c>
      <c r="I685" s="13" t="s">
        <v>65</v>
      </c>
      <c r="J685" s="11" t="s">
        <v>55</v>
      </c>
      <c r="K685" s="12">
        <v>46307</v>
      </c>
      <c r="L685" s="12">
        <v>46307</v>
      </c>
      <c r="M685" s="13" t="s">
        <v>49</v>
      </c>
      <c r="N685" s="14" t="s">
        <v>102</v>
      </c>
      <c r="O685" s="12">
        <v>46311</v>
      </c>
      <c r="P685" s="11">
        <f t="shared" si="60"/>
        <v>4</v>
      </c>
      <c r="Q685" s="11" t="str">
        <f t="shared" ca="1" si="61"/>
        <v>-</v>
      </c>
      <c r="R685" s="11">
        <f>IFERROR(VLOOKUP(G685,Paramètres!$B$6:$F$8,3,FALSE()),"")</f>
        <v>2</v>
      </c>
      <c r="S685" s="11" t="str">
        <f t="shared" ca="1" si="62"/>
        <v>-</v>
      </c>
      <c r="T685" s="12">
        <v>46311</v>
      </c>
      <c r="U685" s="11">
        <f t="shared" si="63"/>
        <v>0</v>
      </c>
      <c r="V685" s="11">
        <f t="shared" si="64"/>
        <v>-3</v>
      </c>
      <c r="W685" s="11" t="str">
        <f t="shared" si="65"/>
        <v>Dans les délais</v>
      </c>
    </row>
    <row r="686" spans="1:23">
      <c r="A686" s="11">
        <v>670</v>
      </c>
      <c r="B686" s="12">
        <v>46307</v>
      </c>
      <c r="C686" s="13" t="s">
        <v>1777</v>
      </c>
      <c r="D686" s="13" t="s">
        <v>230</v>
      </c>
      <c r="E686" s="13" t="s">
        <v>1778</v>
      </c>
      <c r="F686" s="13" t="s">
        <v>1779</v>
      </c>
      <c r="G686" s="11" t="s">
        <v>53</v>
      </c>
      <c r="H686" s="11" t="str">
        <f>IFERROR(VLOOKUP(G686,Paramètres!$B$6:$F$8,2,FALSE()),"")</f>
        <v>N/A</v>
      </c>
      <c r="I686" s="13" t="s">
        <v>47</v>
      </c>
      <c r="J686" s="11" t="s">
        <v>48</v>
      </c>
      <c r="K686" s="12">
        <v>46307</v>
      </c>
      <c r="L686" s="12">
        <v>46307</v>
      </c>
      <c r="M686" s="13" t="s">
        <v>61</v>
      </c>
      <c r="N686" s="14" t="s">
        <v>50</v>
      </c>
      <c r="O686" s="12"/>
      <c r="P686" s="11" t="str">
        <f t="shared" si="60"/>
        <v>-</v>
      </c>
      <c r="Q686" s="11" t="str">
        <f t="shared" ca="1" si="61"/>
        <v>-</v>
      </c>
      <c r="R686" s="11" t="str">
        <f>IFERROR(VLOOKUP(G686,Paramètres!$B$6:$F$8,3,FALSE()),"")</f>
        <v>N/A</v>
      </c>
      <c r="S686" s="11" t="str">
        <f t="shared" ca="1" si="62"/>
        <v>-</v>
      </c>
      <c r="T686" s="12"/>
      <c r="U686" s="11" t="str">
        <f t="shared" si="63"/>
        <v>-</v>
      </c>
      <c r="V686" s="11" t="str">
        <f t="shared" si="64"/>
        <v>-</v>
      </c>
      <c r="W686" s="11" t="str">
        <f t="shared" si="65"/>
        <v>Ne nécessite pas de réponse</v>
      </c>
    </row>
    <row r="687" spans="1:23">
      <c r="A687" s="11">
        <v>671</v>
      </c>
      <c r="B687" s="12">
        <v>46308</v>
      </c>
      <c r="C687" s="13" t="s">
        <v>1780</v>
      </c>
      <c r="D687" s="13" t="s">
        <v>175</v>
      </c>
      <c r="E687" s="13"/>
      <c r="F687" s="13" t="s">
        <v>1781</v>
      </c>
      <c r="G687" s="11" t="s">
        <v>39</v>
      </c>
      <c r="H687" s="11">
        <f>IFERROR(VLOOKUP(G687,Paramètres!$B$6:$F$8,2,FALSE()),"")</f>
        <v>5</v>
      </c>
      <c r="I687" s="13" t="s">
        <v>130</v>
      </c>
      <c r="J687" s="11" t="s">
        <v>48</v>
      </c>
      <c r="K687" s="12">
        <v>46309</v>
      </c>
      <c r="L687" s="12">
        <v>46309</v>
      </c>
      <c r="M687" s="13" t="s">
        <v>61</v>
      </c>
      <c r="N687" s="14" t="s">
        <v>186</v>
      </c>
      <c r="O687" s="12">
        <v>46315</v>
      </c>
      <c r="P687" s="11">
        <f t="shared" si="60"/>
        <v>7</v>
      </c>
      <c r="Q687" s="11" t="str">
        <f t="shared" ca="1" si="61"/>
        <v>-</v>
      </c>
      <c r="R687" s="11">
        <f>IFERROR(VLOOKUP(G687,Paramètres!$B$6:$F$8,3,FALSE()),"")</f>
        <v>2</v>
      </c>
      <c r="S687" s="11" t="str">
        <f t="shared" ca="1" si="62"/>
        <v>-</v>
      </c>
      <c r="T687" s="12">
        <v>46316</v>
      </c>
      <c r="U687" s="11">
        <f t="shared" si="63"/>
        <v>1</v>
      </c>
      <c r="V687" s="11">
        <f t="shared" si="64"/>
        <v>1</v>
      </c>
      <c r="W687" s="11" t="str">
        <f t="shared" si="65"/>
        <v>Hors délais</v>
      </c>
    </row>
    <row r="688" spans="1:23" ht="28.5">
      <c r="A688" s="11">
        <v>672</v>
      </c>
      <c r="B688" s="12">
        <v>46308</v>
      </c>
      <c r="C688" s="13" t="s">
        <v>1782</v>
      </c>
      <c r="D688" s="13" t="s">
        <v>68</v>
      </c>
      <c r="E688" s="13"/>
      <c r="F688" s="13" t="s">
        <v>1783</v>
      </c>
      <c r="G688" s="11" t="s">
        <v>39</v>
      </c>
      <c r="H688" s="11">
        <f>IFERROR(VLOOKUP(G688,Paramètres!$B$6:$F$8,2,FALSE()),"")</f>
        <v>5</v>
      </c>
      <c r="I688" s="13" t="s">
        <v>94</v>
      </c>
      <c r="J688" s="11" t="s">
        <v>55</v>
      </c>
      <c r="K688" s="12">
        <v>46309</v>
      </c>
      <c r="L688" s="12">
        <v>46309</v>
      </c>
      <c r="M688" s="13" t="s">
        <v>75</v>
      </c>
      <c r="N688" s="14" t="s">
        <v>102</v>
      </c>
      <c r="O688" s="12"/>
      <c r="P688" s="11" t="str">
        <f t="shared" si="60"/>
        <v/>
      </c>
      <c r="Q688" s="11" t="str">
        <f t="shared" ca="1" si="61"/>
        <v>ROUGE</v>
      </c>
      <c r="R688" s="11">
        <f>IFERROR(VLOOKUP(G688,Paramètres!$B$6:$F$8,3,FALSE()),"")</f>
        <v>2</v>
      </c>
      <c r="S688" s="11" t="str">
        <f t="shared" ca="1" si="62"/>
        <v/>
      </c>
      <c r="T688" s="12"/>
      <c r="U688" s="11" t="str">
        <f t="shared" si="63"/>
        <v/>
      </c>
      <c r="V688" s="11" t="str">
        <f t="shared" si="64"/>
        <v/>
      </c>
      <c r="W688" s="11" t="str">
        <f t="shared" si="65"/>
        <v/>
      </c>
    </row>
    <row r="689" spans="1:23">
      <c r="A689" s="11">
        <v>673</v>
      </c>
      <c r="B689" s="12">
        <v>46308</v>
      </c>
      <c r="C689" s="13" t="s">
        <v>1784</v>
      </c>
      <c r="D689" s="13" t="s">
        <v>123</v>
      </c>
      <c r="E689" s="13" t="s">
        <v>1785</v>
      </c>
      <c r="F689" s="13" t="s">
        <v>1786</v>
      </c>
      <c r="G689" s="11" t="s">
        <v>39</v>
      </c>
      <c r="H689" s="11">
        <f>IFERROR(VLOOKUP(G689,Paramètres!$B$6:$F$8,2,FALSE()),"")</f>
        <v>5</v>
      </c>
      <c r="I689" s="13" t="s">
        <v>71</v>
      </c>
      <c r="J689" s="11" t="s">
        <v>41</v>
      </c>
      <c r="K689" s="12">
        <v>46308</v>
      </c>
      <c r="L689" s="12">
        <v>46309</v>
      </c>
      <c r="M689" s="13" t="s">
        <v>61</v>
      </c>
      <c r="N689" s="14" t="s">
        <v>87</v>
      </c>
      <c r="O689" s="12"/>
      <c r="P689" s="11" t="str">
        <f t="shared" si="60"/>
        <v/>
      </c>
      <c r="Q689" s="11" t="str">
        <f t="shared" ca="1" si="61"/>
        <v>ROUGE</v>
      </c>
      <c r="R689" s="11">
        <f>IFERROR(VLOOKUP(G689,Paramètres!$B$6:$F$8,3,FALSE()),"")</f>
        <v>2</v>
      </c>
      <c r="S689" s="11" t="str">
        <f t="shared" ca="1" si="62"/>
        <v/>
      </c>
      <c r="T689" s="12"/>
      <c r="U689" s="11" t="str">
        <f t="shared" si="63"/>
        <v/>
      </c>
      <c r="V689" s="11" t="str">
        <f t="shared" si="64"/>
        <v/>
      </c>
      <c r="W689" s="11" t="str">
        <f t="shared" si="65"/>
        <v/>
      </c>
    </row>
    <row r="690" spans="1:23">
      <c r="A690" s="11">
        <v>674</v>
      </c>
      <c r="B690" s="12">
        <v>46308</v>
      </c>
      <c r="C690" s="13" t="s">
        <v>1787</v>
      </c>
      <c r="D690" s="13" t="s">
        <v>118</v>
      </c>
      <c r="E690" s="13"/>
      <c r="F690" s="13" t="s">
        <v>1788</v>
      </c>
      <c r="G690" s="11" t="s">
        <v>39</v>
      </c>
      <c r="H690" s="11">
        <f>IFERROR(VLOOKUP(G690,Paramètres!$B$6:$F$8,2,FALSE()),"")</f>
        <v>5</v>
      </c>
      <c r="I690" s="13" t="s">
        <v>85</v>
      </c>
      <c r="J690" s="11" t="s">
        <v>41</v>
      </c>
      <c r="K690" s="12">
        <v>46309</v>
      </c>
      <c r="L690" s="12">
        <v>46309</v>
      </c>
      <c r="M690" s="13" t="s">
        <v>42</v>
      </c>
      <c r="N690" s="14" t="s">
        <v>87</v>
      </c>
      <c r="O690" s="12"/>
      <c r="P690" s="11" t="str">
        <f t="shared" si="60"/>
        <v/>
      </c>
      <c r="Q690" s="11" t="str">
        <f t="shared" ca="1" si="61"/>
        <v>ROUGE</v>
      </c>
      <c r="R690" s="11">
        <f>IFERROR(VLOOKUP(G690,Paramètres!$B$6:$F$8,3,FALSE()),"")</f>
        <v>2</v>
      </c>
      <c r="S690" s="11" t="str">
        <f t="shared" ca="1" si="62"/>
        <v/>
      </c>
      <c r="T690" s="12"/>
      <c r="U690" s="11" t="str">
        <f t="shared" si="63"/>
        <v/>
      </c>
      <c r="V690" s="11" t="str">
        <f t="shared" si="64"/>
        <v/>
      </c>
      <c r="W690" s="11" t="str">
        <f t="shared" si="65"/>
        <v/>
      </c>
    </row>
    <row r="691" spans="1:23">
      <c r="A691" s="11">
        <v>675</v>
      </c>
      <c r="B691" s="12">
        <v>46309</v>
      </c>
      <c r="C691" s="13" t="s">
        <v>1789</v>
      </c>
      <c r="D691" s="13" t="s">
        <v>68</v>
      </c>
      <c r="E691" s="13" t="s">
        <v>1790</v>
      </c>
      <c r="F691" s="13" t="s">
        <v>1791</v>
      </c>
      <c r="G691" s="11" t="s">
        <v>84</v>
      </c>
      <c r="H691" s="11">
        <f>IFERROR(VLOOKUP(G691,Paramètres!$B$6:$F$8,2,FALSE()),"")</f>
        <v>5</v>
      </c>
      <c r="I691" s="13" t="s">
        <v>85</v>
      </c>
      <c r="J691" s="11" t="s">
        <v>41</v>
      </c>
      <c r="K691" s="12">
        <v>46309</v>
      </c>
      <c r="L691" s="12">
        <v>46310</v>
      </c>
      <c r="M691" s="13" t="s">
        <v>49</v>
      </c>
      <c r="N691" s="14" t="s">
        <v>43</v>
      </c>
      <c r="O691" s="12"/>
      <c r="P691" s="11" t="str">
        <f t="shared" si="60"/>
        <v/>
      </c>
      <c r="Q691" s="11" t="str">
        <f t="shared" ca="1" si="61"/>
        <v>ROUGE</v>
      </c>
      <c r="R691" s="11">
        <f>IFERROR(VLOOKUP(G691,Paramètres!$B$6:$F$8,3,FALSE()),"")</f>
        <v>2</v>
      </c>
      <c r="S691" s="11" t="str">
        <f t="shared" ca="1" si="62"/>
        <v/>
      </c>
      <c r="T691" s="12"/>
      <c r="U691" s="11" t="str">
        <f t="shared" si="63"/>
        <v/>
      </c>
      <c r="V691" s="11" t="str">
        <f t="shared" si="64"/>
        <v/>
      </c>
      <c r="W691" s="11" t="str">
        <f t="shared" si="65"/>
        <v/>
      </c>
    </row>
    <row r="692" spans="1:23">
      <c r="A692" s="11">
        <v>676</v>
      </c>
      <c r="B692" s="12">
        <v>46309</v>
      </c>
      <c r="C692" s="13" t="s">
        <v>1792</v>
      </c>
      <c r="D692" s="13" t="s">
        <v>89</v>
      </c>
      <c r="E692" s="13"/>
      <c r="F692" s="13" t="s">
        <v>1793</v>
      </c>
      <c r="G692" s="11" t="s">
        <v>53</v>
      </c>
      <c r="H692" s="11" t="str">
        <f>IFERROR(VLOOKUP(G692,Paramètres!$B$6:$F$8,2,FALSE()),"")</f>
        <v>N/A</v>
      </c>
      <c r="I692" s="13" t="s">
        <v>108</v>
      </c>
      <c r="J692" s="11" t="s">
        <v>55</v>
      </c>
      <c r="K692" s="12">
        <v>46309</v>
      </c>
      <c r="L692" s="12">
        <v>46310</v>
      </c>
      <c r="M692" s="13"/>
      <c r="N692" s="14" t="s">
        <v>102</v>
      </c>
      <c r="O692" s="12"/>
      <c r="P692" s="11" t="str">
        <f t="shared" si="60"/>
        <v>-</v>
      </c>
      <c r="Q692" s="11" t="str">
        <f t="shared" ca="1" si="61"/>
        <v>-</v>
      </c>
      <c r="R692" s="11" t="str">
        <f>IFERROR(VLOOKUP(G692,Paramètres!$B$6:$F$8,3,FALSE()),"")</f>
        <v>N/A</v>
      </c>
      <c r="S692" s="11" t="str">
        <f t="shared" ca="1" si="62"/>
        <v>-</v>
      </c>
      <c r="T692" s="12"/>
      <c r="U692" s="11" t="str">
        <f t="shared" si="63"/>
        <v>-</v>
      </c>
      <c r="V692" s="11" t="str">
        <f t="shared" si="64"/>
        <v>-</v>
      </c>
      <c r="W692" s="11" t="str">
        <f t="shared" si="65"/>
        <v>Ne nécessite pas de réponse</v>
      </c>
    </row>
    <row r="693" spans="1:23">
      <c r="A693" s="11">
        <v>677</v>
      </c>
      <c r="B693" s="12">
        <v>46309</v>
      </c>
      <c r="C693" s="13" t="s">
        <v>1794</v>
      </c>
      <c r="D693" s="13" t="s">
        <v>345</v>
      </c>
      <c r="E693" s="13" t="s">
        <v>1795</v>
      </c>
      <c r="F693" s="13" t="s">
        <v>1796</v>
      </c>
      <c r="G693" s="11" t="s">
        <v>39</v>
      </c>
      <c r="H693" s="11">
        <f>IFERROR(VLOOKUP(G693,Paramètres!$B$6:$F$8,2,FALSE()),"")</f>
        <v>5</v>
      </c>
      <c r="I693" s="13" t="s">
        <v>74</v>
      </c>
      <c r="J693" s="11" t="s">
        <v>41</v>
      </c>
      <c r="K693" s="12">
        <v>46309</v>
      </c>
      <c r="L693" s="12">
        <v>46309</v>
      </c>
      <c r="M693" s="13" t="s">
        <v>61</v>
      </c>
      <c r="N693" s="14" t="s">
        <v>87</v>
      </c>
      <c r="O693" s="12"/>
      <c r="P693" s="11" t="str">
        <f t="shared" si="60"/>
        <v/>
      </c>
      <c r="Q693" s="11" t="str">
        <f t="shared" ca="1" si="61"/>
        <v>ROUGE</v>
      </c>
      <c r="R693" s="11">
        <f>IFERROR(VLOOKUP(G693,Paramètres!$B$6:$F$8,3,FALSE()),"")</f>
        <v>2</v>
      </c>
      <c r="S693" s="11" t="str">
        <f t="shared" ca="1" si="62"/>
        <v/>
      </c>
      <c r="T693" s="12"/>
      <c r="U693" s="11" t="str">
        <f t="shared" si="63"/>
        <v/>
      </c>
      <c r="V693" s="11" t="str">
        <f t="shared" si="64"/>
        <v/>
      </c>
      <c r="W693" s="11" t="str">
        <f t="shared" si="65"/>
        <v/>
      </c>
    </row>
    <row r="694" spans="1:23" ht="28.5">
      <c r="A694" s="11">
        <v>678</v>
      </c>
      <c r="B694" s="12">
        <v>46309</v>
      </c>
      <c r="C694" s="13" t="s">
        <v>1797</v>
      </c>
      <c r="D694" s="13" t="s">
        <v>81</v>
      </c>
      <c r="E694" s="13" t="s">
        <v>1798</v>
      </c>
      <c r="F694" s="13" t="s">
        <v>1799</v>
      </c>
      <c r="G694" s="11" t="s">
        <v>39</v>
      </c>
      <c r="H694" s="11">
        <f>IFERROR(VLOOKUP(G694,Paramètres!$B$6:$F$8,2,FALSE()),"")</f>
        <v>5</v>
      </c>
      <c r="I694" s="13" t="s">
        <v>108</v>
      </c>
      <c r="J694" s="11" t="s">
        <v>55</v>
      </c>
      <c r="K694" s="12">
        <v>46310</v>
      </c>
      <c r="L694" s="12">
        <v>46310</v>
      </c>
      <c r="M694" s="13" t="s">
        <v>75</v>
      </c>
      <c r="N694" s="14" t="s">
        <v>66</v>
      </c>
      <c r="O694" s="12">
        <v>46315</v>
      </c>
      <c r="P694" s="11">
        <f t="shared" si="60"/>
        <v>6</v>
      </c>
      <c r="Q694" s="11" t="str">
        <f t="shared" ca="1" si="61"/>
        <v>-</v>
      </c>
      <c r="R694" s="11">
        <f>IFERROR(VLOOKUP(G694,Paramètres!$B$6:$F$8,3,FALSE()),"")</f>
        <v>2</v>
      </c>
      <c r="S694" s="11" t="str">
        <f t="shared" ca="1" si="62"/>
        <v>-</v>
      </c>
      <c r="T694" s="12">
        <v>46316</v>
      </c>
      <c r="U694" s="11">
        <f t="shared" si="63"/>
        <v>1</v>
      </c>
      <c r="V694" s="11">
        <f t="shared" si="64"/>
        <v>0</v>
      </c>
      <c r="W694" s="11" t="str">
        <f t="shared" si="65"/>
        <v>Dans les délais</v>
      </c>
    </row>
    <row r="695" spans="1:23">
      <c r="A695" s="11">
        <v>679</v>
      </c>
      <c r="B695" s="12">
        <v>46310</v>
      </c>
      <c r="C695" s="13" t="s">
        <v>1800</v>
      </c>
      <c r="D695" s="13" t="s">
        <v>81</v>
      </c>
      <c r="E695" s="13" t="s">
        <v>1801</v>
      </c>
      <c r="F695" s="13" t="s">
        <v>1802</v>
      </c>
      <c r="G695" s="11" t="s">
        <v>39</v>
      </c>
      <c r="H695" s="11">
        <f>IFERROR(VLOOKUP(G695,Paramètres!$B$6:$F$8,2,FALSE()),"")</f>
        <v>5</v>
      </c>
      <c r="I695" s="13" t="s">
        <v>155</v>
      </c>
      <c r="J695" s="11" t="s">
        <v>48</v>
      </c>
      <c r="K695" s="12">
        <v>46310</v>
      </c>
      <c r="L695" s="12">
        <v>46310</v>
      </c>
      <c r="M695" s="13"/>
      <c r="N695" s="14" t="s">
        <v>186</v>
      </c>
      <c r="O695" s="12">
        <v>46321</v>
      </c>
      <c r="P695" s="11">
        <f t="shared" si="60"/>
        <v>11</v>
      </c>
      <c r="Q695" s="11" t="str">
        <f t="shared" ca="1" si="61"/>
        <v>-</v>
      </c>
      <c r="R695" s="11">
        <f>IFERROR(VLOOKUP(G695,Paramètres!$B$6:$F$8,3,FALSE()),"")</f>
        <v>2</v>
      </c>
      <c r="S695" s="11" t="str">
        <f t="shared" ca="1" si="62"/>
        <v>VERT</v>
      </c>
      <c r="T695" s="12"/>
      <c r="U695" s="11" t="str">
        <f t="shared" si="63"/>
        <v/>
      </c>
      <c r="V695" s="11" t="str">
        <f t="shared" si="64"/>
        <v/>
      </c>
      <c r="W695" s="11" t="str">
        <f t="shared" si="65"/>
        <v/>
      </c>
    </row>
    <row r="696" spans="1:23" ht="28.5">
      <c r="A696" s="11">
        <v>680</v>
      </c>
      <c r="B696" s="12">
        <v>46310</v>
      </c>
      <c r="C696" s="13" t="s">
        <v>1803</v>
      </c>
      <c r="D696" s="13" t="s">
        <v>104</v>
      </c>
      <c r="E696" s="13"/>
      <c r="F696" s="13" t="s">
        <v>1804</v>
      </c>
      <c r="G696" s="11" t="s">
        <v>84</v>
      </c>
      <c r="H696" s="11">
        <f>IFERROR(VLOOKUP(G696,Paramètres!$B$6:$F$8,2,FALSE()),"")</f>
        <v>5</v>
      </c>
      <c r="I696" s="13" t="s">
        <v>168</v>
      </c>
      <c r="J696" s="11" t="s">
        <v>48</v>
      </c>
      <c r="K696" s="12">
        <v>46311</v>
      </c>
      <c r="L696" s="12">
        <v>46314</v>
      </c>
      <c r="M696" s="13" t="s">
        <v>75</v>
      </c>
      <c r="N696" s="14" t="s">
        <v>121</v>
      </c>
      <c r="O696" s="12">
        <v>46314</v>
      </c>
      <c r="P696" s="11">
        <f t="shared" si="60"/>
        <v>4</v>
      </c>
      <c r="Q696" s="11" t="str">
        <f t="shared" ca="1" si="61"/>
        <v>-</v>
      </c>
      <c r="R696" s="11">
        <f>IFERROR(VLOOKUP(G696,Paramètres!$B$6:$F$8,3,FALSE()),"")</f>
        <v>2</v>
      </c>
      <c r="S696" s="11" t="str">
        <f t="shared" ca="1" si="62"/>
        <v>-</v>
      </c>
      <c r="T696" s="12">
        <v>46316</v>
      </c>
      <c r="U696" s="11">
        <f t="shared" si="63"/>
        <v>2</v>
      </c>
      <c r="V696" s="11">
        <f t="shared" si="64"/>
        <v>-1</v>
      </c>
      <c r="W696" s="11" t="str">
        <f t="shared" si="65"/>
        <v>Dans les délais</v>
      </c>
    </row>
    <row r="697" spans="1:23">
      <c r="A697" s="11">
        <v>681</v>
      </c>
      <c r="B697" s="12">
        <v>46310</v>
      </c>
      <c r="C697" s="13" t="s">
        <v>1805</v>
      </c>
      <c r="D697" s="13" t="s">
        <v>63</v>
      </c>
      <c r="E697" s="13" t="s">
        <v>1806</v>
      </c>
      <c r="F697" s="13" t="s">
        <v>1807</v>
      </c>
      <c r="G697" s="11" t="s">
        <v>84</v>
      </c>
      <c r="H697" s="11">
        <f>IFERROR(VLOOKUP(G697,Paramètres!$B$6:$F$8,2,FALSE()),"")</f>
        <v>5</v>
      </c>
      <c r="I697" s="13" t="s">
        <v>168</v>
      </c>
      <c r="J697" s="11" t="s">
        <v>48</v>
      </c>
      <c r="K697" s="12">
        <v>46311</v>
      </c>
      <c r="L697" s="12">
        <v>46311</v>
      </c>
      <c r="M697" s="13" t="s">
        <v>56</v>
      </c>
      <c r="N697" s="14" t="s">
        <v>186</v>
      </c>
      <c r="O697" s="12"/>
      <c r="P697" s="11" t="str">
        <f t="shared" si="60"/>
        <v/>
      </c>
      <c r="Q697" s="11" t="str">
        <f t="shared" ca="1" si="61"/>
        <v>ROUGE</v>
      </c>
      <c r="R697" s="11">
        <f>IFERROR(VLOOKUP(G697,Paramètres!$B$6:$F$8,3,FALSE()),"")</f>
        <v>2</v>
      </c>
      <c r="S697" s="11" t="str">
        <f t="shared" ca="1" si="62"/>
        <v/>
      </c>
      <c r="T697" s="12"/>
      <c r="U697" s="11" t="str">
        <f t="shared" si="63"/>
        <v/>
      </c>
      <c r="V697" s="11" t="str">
        <f t="shared" si="64"/>
        <v/>
      </c>
      <c r="W697" s="11" t="str">
        <f t="shared" si="65"/>
        <v/>
      </c>
    </row>
    <row r="698" spans="1:23">
      <c r="A698" s="11">
        <v>682</v>
      </c>
      <c r="B698" s="12">
        <v>46310</v>
      </c>
      <c r="C698" s="13" t="s">
        <v>1808</v>
      </c>
      <c r="D698" s="13" t="s">
        <v>37</v>
      </c>
      <c r="E698" s="13"/>
      <c r="F698" s="13" t="s">
        <v>1809</v>
      </c>
      <c r="G698" s="11" t="s">
        <v>84</v>
      </c>
      <c r="H698" s="11">
        <f>IFERROR(VLOOKUP(G698,Paramètres!$B$6:$F$8,2,FALSE()),"")</f>
        <v>5</v>
      </c>
      <c r="I698" s="13" t="s">
        <v>240</v>
      </c>
      <c r="J698" s="11" t="s">
        <v>55</v>
      </c>
      <c r="K698" s="12">
        <v>46310</v>
      </c>
      <c r="L698" s="12">
        <v>46310</v>
      </c>
      <c r="M698" s="13" t="s">
        <v>61</v>
      </c>
      <c r="N698" s="14" t="s">
        <v>57</v>
      </c>
      <c r="O698" s="12">
        <v>46314</v>
      </c>
      <c r="P698" s="11">
        <f t="shared" si="60"/>
        <v>4</v>
      </c>
      <c r="Q698" s="11" t="str">
        <f t="shared" ca="1" si="61"/>
        <v>-</v>
      </c>
      <c r="R698" s="11">
        <f>IFERROR(VLOOKUP(G698,Paramètres!$B$6:$F$8,3,FALSE()),"")</f>
        <v>2</v>
      </c>
      <c r="S698" s="11" t="str">
        <f t="shared" ca="1" si="62"/>
        <v>-</v>
      </c>
      <c r="T698" s="12">
        <v>46315</v>
      </c>
      <c r="U698" s="11">
        <f t="shared" si="63"/>
        <v>1</v>
      </c>
      <c r="V698" s="11">
        <f t="shared" si="64"/>
        <v>-2</v>
      </c>
      <c r="W698" s="11" t="str">
        <f t="shared" si="65"/>
        <v>Dans les délais</v>
      </c>
    </row>
    <row r="699" spans="1:23">
      <c r="A699" s="11">
        <v>683</v>
      </c>
      <c r="B699" s="12">
        <v>46310</v>
      </c>
      <c r="C699" s="13" t="s">
        <v>1810</v>
      </c>
      <c r="D699" s="13" t="s">
        <v>68</v>
      </c>
      <c r="E699" s="13" t="s">
        <v>1811</v>
      </c>
      <c r="F699" s="13" t="s">
        <v>1812</v>
      </c>
      <c r="G699" s="11" t="s">
        <v>53</v>
      </c>
      <c r="H699" s="11" t="str">
        <f>IFERROR(VLOOKUP(G699,Paramètres!$B$6:$F$8,2,FALSE()),"")</f>
        <v>N/A</v>
      </c>
      <c r="I699" s="13" t="s">
        <v>91</v>
      </c>
      <c r="J699" s="11" t="s">
        <v>41</v>
      </c>
      <c r="K699" s="12">
        <v>46310</v>
      </c>
      <c r="L699" s="12">
        <v>46310</v>
      </c>
      <c r="M699" s="13" t="s">
        <v>61</v>
      </c>
      <c r="N699" s="14" t="s">
        <v>87</v>
      </c>
      <c r="O699" s="12"/>
      <c r="P699" s="11" t="str">
        <f t="shared" si="60"/>
        <v>-</v>
      </c>
      <c r="Q699" s="11" t="str">
        <f t="shared" ca="1" si="61"/>
        <v>-</v>
      </c>
      <c r="R699" s="11" t="str">
        <f>IFERROR(VLOOKUP(G699,Paramètres!$B$6:$F$8,3,FALSE()),"")</f>
        <v>N/A</v>
      </c>
      <c r="S699" s="11" t="str">
        <f t="shared" ca="1" si="62"/>
        <v>-</v>
      </c>
      <c r="T699" s="12"/>
      <c r="U699" s="11" t="str">
        <f t="shared" si="63"/>
        <v>-</v>
      </c>
      <c r="V699" s="11" t="str">
        <f t="shared" si="64"/>
        <v>-</v>
      </c>
      <c r="W699" s="11" t="str">
        <f t="shared" si="65"/>
        <v>Ne nécessite pas de réponse</v>
      </c>
    </row>
    <row r="700" spans="1:23">
      <c r="A700" s="11">
        <v>684</v>
      </c>
      <c r="B700" s="12">
        <v>46310</v>
      </c>
      <c r="C700" s="13" t="s">
        <v>1813</v>
      </c>
      <c r="D700" s="13" t="s">
        <v>81</v>
      </c>
      <c r="E700" s="13" t="s">
        <v>1814</v>
      </c>
      <c r="F700" s="13" t="s">
        <v>1815</v>
      </c>
      <c r="G700" s="11" t="s">
        <v>53</v>
      </c>
      <c r="H700" s="11" t="str">
        <f>IFERROR(VLOOKUP(G700,Paramètres!$B$6:$F$8,2,FALSE()),"")</f>
        <v>N/A</v>
      </c>
      <c r="I700" s="13" t="s">
        <v>185</v>
      </c>
      <c r="J700" s="11" t="s">
        <v>48</v>
      </c>
      <c r="K700" s="12">
        <v>46311</v>
      </c>
      <c r="L700" s="12">
        <v>46311</v>
      </c>
      <c r="M700" s="13" t="s">
        <v>61</v>
      </c>
      <c r="N700" s="14" t="s">
        <v>50</v>
      </c>
      <c r="O700" s="12"/>
      <c r="P700" s="11" t="str">
        <f t="shared" si="60"/>
        <v>-</v>
      </c>
      <c r="Q700" s="11" t="str">
        <f t="shared" ca="1" si="61"/>
        <v>-</v>
      </c>
      <c r="R700" s="11" t="str">
        <f>IFERROR(VLOOKUP(G700,Paramètres!$B$6:$F$8,3,FALSE()),"")</f>
        <v>N/A</v>
      </c>
      <c r="S700" s="11" t="str">
        <f t="shared" ca="1" si="62"/>
        <v>-</v>
      </c>
      <c r="T700" s="12"/>
      <c r="U700" s="11" t="str">
        <f t="shared" si="63"/>
        <v>-</v>
      </c>
      <c r="V700" s="11" t="str">
        <f t="shared" si="64"/>
        <v>-</v>
      </c>
      <c r="W700" s="11" t="str">
        <f t="shared" si="65"/>
        <v>Ne nécessite pas de réponse</v>
      </c>
    </row>
    <row r="701" spans="1:23">
      <c r="A701" s="11">
        <v>685</v>
      </c>
      <c r="B701" s="12">
        <v>46311</v>
      </c>
      <c r="C701" s="13" t="s">
        <v>1816</v>
      </c>
      <c r="D701" s="13" t="s">
        <v>145</v>
      </c>
      <c r="E701" s="13"/>
      <c r="F701" s="13" t="s">
        <v>1817</v>
      </c>
      <c r="G701" s="11" t="s">
        <v>39</v>
      </c>
      <c r="H701" s="11">
        <f>IFERROR(VLOOKUP(G701,Paramètres!$B$6:$F$8,2,FALSE()),"")</f>
        <v>5</v>
      </c>
      <c r="I701" s="13" t="s">
        <v>120</v>
      </c>
      <c r="J701" s="11" t="s">
        <v>48</v>
      </c>
      <c r="K701" s="12">
        <v>46311</v>
      </c>
      <c r="L701" s="12">
        <v>46314</v>
      </c>
      <c r="M701" s="13"/>
      <c r="N701" s="14" t="s">
        <v>50</v>
      </c>
      <c r="O701" s="12">
        <v>46318</v>
      </c>
      <c r="P701" s="11">
        <f t="shared" si="60"/>
        <v>7</v>
      </c>
      <c r="Q701" s="11" t="str">
        <f t="shared" ca="1" si="61"/>
        <v>-</v>
      </c>
      <c r="R701" s="11">
        <f>IFERROR(VLOOKUP(G701,Paramètres!$B$6:$F$8,3,FALSE()),"")</f>
        <v>2</v>
      </c>
      <c r="S701" s="11" t="str">
        <f t="shared" ca="1" si="62"/>
        <v>ROUGE</v>
      </c>
      <c r="T701" s="12"/>
      <c r="U701" s="11" t="str">
        <f t="shared" si="63"/>
        <v/>
      </c>
      <c r="V701" s="11" t="str">
        <f t="shared" si="64"/>
        <v/>
      </c>
      <c r="W701" s="11" t="str">
        <f t="shared" si="65"/>
        <v/>
      </c>
    </row>
    <row r="702" spans="1:23">
      <c r="A702" s="11">
        <v>686</v>
      </c>
      <c r="B702" s="12">
        <v>46311</v>
      </c>
      <c r="C702" s="13" t="s">
        <v>1818</v>
      </c>
      <c r="D702" s="13" t="s">
        <v>63</v>
      </c>
      <c r="E702" s="13"/>
      <c r="F702" s="13" t="s">
        <v>1819</v>
      </c>
      <c r="G702" s="11" t="s">
        <v>39</v>
      </c>
      <c r="H702" s="11">
        <f>IFERROR(VLOOKUP(G702,Paramètres!$B$6:$F$8,2,FALSE()),"")</f>
        <v>5</v>
      </c>
      <c r="I702" s="13" t="s">
        <v>232</v>
      </c>
      <c r="J702" s="11" t="s">
        <v>55</v>
      </c>
      <c r="K702" s="12">
        <v>46314</v>
      </c>
      <c r="L702" s="12">
        <v>46314</v>
      </c>
      <c r="M702" s="13" t="s">
        <v>42</v>
      </c>
      <c r="N702" s="14" t="s">
        <v>66</v>
      </c>
      <c r="O702" s="12">
        <v>46318</v>
      </c>
      <c r="P702" s="11">
        <f t="shared" si="60"/>
        <v>7</v>
      </c>
      <c r="Q702" s="11" t="str">
        <f t="shared" ca="1" si="61"/>
        <v>-</v>
      </c>
      <c r="R702" s="11">
        <f>IFERROR(VLOOKUP(G702,Paramètres!$B$6:$F$8,3,FALSE()),"")</f>
        <v>2</v>
      </c>
      <c r="S702" s="11" t="str">
        <f t="shared" ca="1" si="62"/>
        <v>-</v>
      </c>
      <c r="T702" s="12">
        <v>46321</v>
      </c>
      <c r="U702" s="11">
        <f t="shared" si="63"/>
        <v>3</v>
      </c>
      <c r="V702" s="11">
        <f t="shared" si="64"/>
        <v>3</v>
      </c>
      <c r="W702" s="11" t="str">
        <f t="shared" si="65"/>
        <v>Hors délais</v>
      </c>
    </row>
    <row r="703" spans="1:23">
      <c r="A703" s="11">
        <v>687</v>
      </c>
      <c r="B703" s="12">
        <v>46311</v>
      </c>
      <c r="C703" s="13" t="s">
        <v>1820</v>
      </c>
      <c r="D703" s="13" t="s">
        <v>118</v>
      </c>
      <c r="E703" s="13"/>
      <c r="F703" s="13" t="s">
        <v>1821</v>
      </c>
      <c r="G703" s="11" t="s">
        <v>84</v>
      </c>
      <c r="H703" s="11">
        <f>IFERROR(VLOOKUP(G703,Paramètres!$B$6:$F$8,2,FALSE()),"")</f>
        <v>5</v>
      </c>
      <c r="I703" s="13" t="s">
        <v>94</v>
      </c>
      <c r="J703" s="11" t="s">
        <v>55</v>
      </c>
      <c r="K703" s="12">
        <v>46311</v>
      </c>
      <c r="L703" s="12">
        <v>46314</v>
      </c>
      <c r="M703" s="13" t="s">
        <v>56</v>
      </c>
      <c r="N703" s="14" t="s">
        <v>66</v>
      </c>
      <c r="O703" s="12">
        <v>46321</v>
      </c>
      <c r="P703" s="11">
        <f t="shared" si="60"/>
        <v>10</v>
      </c>
      <c r="Q703" s="11" t="str">
        <f t="shared" ca="1" si="61"/>
        <v>-</v>
      </c>
      <c r="R703" s="11">
        <f>IFERROR(VLOOKUP(G703,Paramètres!$B$6:$F$8,3,FALSE()),"")</f>
        <v>2</v>
      </c>
      <c r="S703" s="11" t="str">
        <f t="shared" ca="1" si="62"/>
        <v>-</v>
      </c>
      <c r="T703" s="12">
        <v>46321</v>
      </c>
      <c r="U703" s="11">
        <f t="shared" si="63"/>
        <v>0</v>
      </c>
      <c r="V703" s="11">
        <f t="shared" si="64"/>
        <v>3</v>
      </c>
      <c r="W703" s="11" t="str">
        <f t="shared" si="65"/>
        <v>Hors délais</v>
      </c>
    </row>
    <row r="704" spans="1:23">
      <c r="A704" s="11">
        <v>688</v>
      </c>
      <c r="B704" s="12">
        <v>46311</v>
      </c>
      <c r="C704" s="13" t="s">
        <v>1822</v>
      </c>
      <c r="D704" s="13" t="s">
        <v>115</v>
      </c>
      <c r="E704" s="13" t="s">
        <v>1823</v>
      </c>
      <c r="F704" s="13" t="s">
        <v>1824</v>
      </c>
      <c r="G704" s="11" t="s">
        <v>53</v>
      </c>
      <c r="H704" s="11" t="str">
        <f>IFERROR(VLOOKUP(G704,Paramètres!$B$6:$F$8,2,FALSE()),"")</f>
        <v>N/A</v>
      </c>
      <c r="I704" s="13" t="s">
        <v>47</v>
      </c>
      <c r="J704" s="11" t="s">
        <v>48</v>
      </c>
      <c r="K704" s="12">
        <v>46311</v>
      </c>
      <c r="L704" s="12">
        <v>46314</v>
      </c>
      <c r="M704" s="13" t="s">
        <v>49</v>
      </c>
      <c r="N704" s="14" t="s">
        <v>186</v>
      </c>
      <c r="O704" s="12"/>
      <c r="P704" s="11" t="str">
        <f t="shared" si="60"/>
        <v>-</v>
      </c>
      <c r="Q704" s="11" t="str">
        <f t="shared" ca="1" si="61"/>
        <v>-</v>
      </c>
      <c r="R704" s="11" t="str">
        <f>IFERROR(VLOOKUP(G704,Paramètres!$B$6:$F$8,3,FALSE()),"")</f>
        <v>N/A</v>
      </c>
      <c r="S704" s="11" t="str">
        <f t="shared" ca="1" si="62"/>
        <v>-</v>
      </c>
      <c r="T704" s="12"/>
      <c r="U704" s="11" t="str">
        <f t="shared" si="63"/>
        <v>-</v>
      </c>
      <c r="V704" s="11" t="str">
        <f t="shared" si="64"/>
        <v>-</v>
      </c>
      <c r="W704" s="11" t="str">
        <f t="shared" si="65"/>
        <v>Ne nécessite pas de réponse</v>
      </c>
    </row>
    <row r="705" spans="1:23">
      <c r="A705" s="11">
        <v>689</v>
      </c>
      <c r="B705" s="12">
        <v>46311</v>
      </c>
      <c r="C705" s="13" t="s">
        <v>1825</v>
      </c>
      <c r="D705" s="13" t="s">
        <v>145</v>
      </c>
      <c r="E705" s="13"/>
      <c r="F705" s="13" t="s">
        <v>1826</v>
      </c>
      <c r="G705" s="11" t="s">
        <v>39</v>
      </c>
      <c r="H705" s="11">
        <f>IFERROR(VLOOKUP(G705,Paramètres!$B$6:$F$8,2,FALSE()),"")</f>
        <v>5</v>
      </c>
      <c r="I705" s="13" t="s">
        <v>155</v>
      </c>
      <c r="J705" s="11" t="s">
        <v>48</v>
      </c>
      <c r="K705" s="12">
        <v>46311</v>
      </c>
      <c r="L705" s="12">
        <v>46311</v>
      </c>
      <c r="M705" s="13" t="s">
        <v>86</v>
      </c>
      <c r="N705" s="14" t="s">
        <v>186</v>
      </c>
      <c r="O705" s="12">
        <v>46317</v>
      </c>
      <c r="P705" s="11">
        <f t="shared" si="60"/>
        <v>6</v>
      </c>
      <c r="Q705" s="11" t="str">
        <f t="shared" ca="1" si="61"/>
        <v>-</v>
      </c>
      <c r="R705" s="11">
        <f>IFERROR(VLOOKUP(G705,Paramètres!$B$6:$F$8,3,FALSE()),"")</f>
        <v>2</v>
      </c>
      <c r="S705" s="11" t="str">
        <f t="shared" ca="1" si="62"/>
        <v>ROUGE</v>
      </c>
      <c r="T705" s="12"/>
      <c r="U705" s="11" t="str">
        <f t="shared" si="63"/>
        <v/>
      </c>
      <c r="V705" s="11" t="str">
        <f t="shared" si="64"/>
        <v/>
      </c>
      <c r="W705" s="11" t="str">
        <f t="shared" si="65"/>
        <v/>
      </c>
    </row>
    <row r="706" spans="1:23">
      <c r="A706" s="11">
        <v>690</v>
      </c>
      <c r="B706" s="12">
        <v>46311</v>
      </c>
      <c r="C706" s="13" t="s">
        <v>1827</v>
      </c>
      <c r="D706" s="13" t="s">
        <v>96</v>
      </c>
      <c r="E706" s="13" t="s">
        <v>1828</v>
      </c>
      <c r="F706" s="13" t="s">
        <v>1829</v>
      </c>
      <c r="G706" s="11" t="s">
        <v>39</v>
      </c>
      <c r="H706" s="11">
        <f>IFERROR(VLOOKUP(G706,Paramètres!$B$6:$F$8,2,FALSE()),"")</f>
        <v>5</v>
      </c>
      <c r="I706" s="13" t="s">
        <v>98</v>
      </c>
      <c r="J706" s="11" t="s">
        <v>41</v>
      </c>
      <c r="K706" s="12">
        <v>46311</v>
      </c>
      <c r="L706" s="12">
        <v>46314</v>
      </c>
      <c r="M706" s="13" t="s">
        <v>42</v>
      </c>
      <c r="N706" s="14" t="s">
        <v>76</v>
      </c>
      <c r="O706" s="12">
        <v>46322</v>
      </c>
      <c r="P706" s="11">
        <f t="shared" si="60"/>
        <v>11</v>
      </c>
      <c r="Q706" s="11" t="str">
        <f t="shared" ca="1" si="61"/>
        <v>-</v>
      </c>
      <c r="R706" s="11">
        <f>IFERROR(VLOOKUP(G706,Paramètres!$B$6:$F$8,3,FALSE()),"")</f>
        <v>2</v>
      </c>
      <c r="S706" s="11" t="str">
        <f t="shared" ca="1" si="62"/>
        <v>VERT</v>
      </c>
      <c r="T706" s="12"/>
      <c r="U706" s="11" t="str">
        <f t="shared" si="63"/>
        <v/>
      </c>
      <c r="V706" s="11" t="str">
        <f t="shared" si="64"/>
        <v/>
      </c>
      <c r="W706" s="11" t="str">
        <f t="shared" si="65"/>
        <v/>
      </c>
    </row>
    <row r="707" spans="1:23">
      <c r="A707" s="11">
        <v>691</v>
      </c>
      <c r="B707" s="12">
        <v>46311</v>
      </c>
      <c r="C707" s="13" t="s">
        <v>1830</v>
      </c>
      <c r="D707" s="13" t="s">
        <v>59</v>
      </c>
      <c r="E707" s="13" t="s">
        <v>1831</v>
      </c>
      <c r="F707" s="13" t="s">
        <v>1832</v>
      </c>
      <c r="G707" s="11" t="s">
        <v>53</v>
      </c>
      <c r="H707" s="11" t="str">
        <f>IFERROR(VLOOKUP(G707,Paramètres!$B$6:$F$8,2,FALSE()),"")</f>
        <v>N/A</v>
      </c>
      <c r="I707" s="13" t="s">
        <v>98</v>
      </c>
      <c r="J707" s="11" t="s">
        <v>41</v>
      </c>
      <c r="K707" s="12">
        <v>46314</v>
      </c>
      <c r="L707" s="12">
        <v>46314</v>
      </c>
      <c r="M707" s="13"/>
      <c r="N707" s="14" t="s">
        <v>76</v>
      </c>
      <c r="O707" s="12"/>
      <c r="P707" s="11" t="str">
        <f t="shared" si="60"/>
        <v>-</v>
      </c>
      <c r="Q707" s="11" t="str">
        <f t="shared" ca="1" si="61"/>
        <v>-</v>
      </c>
      <c r="R707" s="11" t="str">
        <f>IFERROR(VLOOKUP(G707,Paramètres!$B$6:$F$8,3,FALSE()),"")</f>
        <v>N/A</v>
      </c>
      <c r="S707" s="11" t="str">
        <f t="shared" ca="1" si="62"/>
        <v>-</v>
      </c>
      <c r="T707" s="12"/>
      <c r="U707" s="11" t="str">
        <f t="shared" si="63"/>
        <v>-</v>
      </c>
      <c r="V707" s="11" t="str">
        <f t="shared" si="64"/>
        <v>-</v>
      </c>
      <c r="W707" s="11" t="str">
        <f t="shared" si="65"/>
        <v>Ne nécessite pas de réponse</v>
      </c>
    </row>
    <row r="708" spans="1:23">
      <c r="A708" s="11">
        <v>692</v>
      </c>
      <c r="B708" s="12">
        <v>46314</v>
      </c>
      <c r="C708" s="13" t="s">
        <v>1833</v>
      </c>
      <c r="D708" s="13" t="s">
        <v>123</v>
      </c>
      <c r="E708" s="13" t="s">
        <v>1834</v>
      </c>
      <c r="F708" s="13" t="s">
        <v>1835</v>
      </c>
      <c r="G708" s="11" t="s">
        <v>39</v>
      </c>
      <c r="H708" s="11">
        <f>IFERROR(VLOOKUP(G708,Paramètres!$B$6:$F$8,2,FALSE()),"")</f>
        <v>5</v>
      </c>
      <c r="I708" s="13" t="s">
        <v>168</v>
      </c>
      <c r="J708" s="11" t="s">
        <v>48</v>
      </c>
      <c r="K708" s="12">
        <v>46315</v>
      </c>
      <c r="L708" s="12">
        <v>46316</v>
      </c>
      <c r="M708" s="13" t="s">
        <v>42</v>
      </c>
      <c r="N708" s="14" t="s">
        <v>50</v>
      </c>
      <c r="O708" s="12"/>
      <c r="P708" s="11" t="str">
        <f t="shared" si="60"/>
        <v/>
      </c>
      <c r="Q708" s="11" t="str">
        <f t="shared" ca="1" si="61"/>
        <v>ROUGE</v>
      </c>
      <c r="R708" s="11">
        <f>IFERROR(VLOOKUP(G708,Paramètres!$B$6:$F$8,3,FALSE()),"")</f>
        <v>2</v>
      </c>
      <c r="S708" s="11" t="str">
        <f t="shared" ca="1" si="62"/>
        <v/>
      </c>
      <c r="T708" s="12"/>
      <c r="U708" s="11" t="str">
        <f t="shared" si="63"/>
        <v/>
      </c>
      <c r="V708" s="11" t="str">
        <f t="shared" si="64"/>
        <v/>
      </c>
      <c r="W708" s="11" t="str">
        <f t="shared" si="65"/>
        <v/>
      </c>
    </row>
    <row r="709" spans="1:23">
      <c r="A709" s="11">
        <v>693</v>
      </c>
      <c r="B709" s="12">
        <v>46315</v>
      </c>
      <c r="C709" s="13" t="s">
        <v>1836</v>
      </c>
      <c r="D709" s="13" t="s">
        <v>118</v>
      </c>
      <c r="E709" s="13" t="s">
        <v>1837</v>
      </c>
      <c r="F709" s="13" t="s">
        <v>1838</v>
      </c>
      <c r="G709" s="11" t="s">
        <v>39</v>
      </c>
      <c r="H709" s="11">
        <f>IFERROR(VLOOKUP(G709,Paramètres!$B$6:$F$8,2,FALSE()),"")</f>
        <v>5</v>
      </c>
      <c r="I709" s="13" t="s">
        <v>94</v>
      </c>
      <c r="J709" s="11" t="s">
        <v>55</v>
      </c>
      <c r="K709" s="12">
        <v>46315</v>
      </c>
      <c r="L709" s="12">
        <v>46316</v>
      </c>
      <c r="M709" s="13"/>
      <c r="N709" s="14" t="s">
        <v>66</v>
      </c>
      <c r="O709" s="12"/>
      <c r="P709" s="11" t="str">
        <f t="shared" si="60"/>
        <v/>
      </c>
      <c r="Q709" s="11" t="str">
        <f t="shared" ca="1" si="61"/>
        <v>ROUGE</v>
      </c>
      <c r="R709" s="11">
        <f>IFERROR(VLOOKUP(G709,Paramètres!$B$6:$F$8,3,FALSE()),"")</f>
        <v>2</v>
      </c>
      <c r="S709" s="11" t="str">
        <f t="shared" ca="1" si="62"/>
        <v/>
      </c>
      <c r="T709" s="12"/>
      <c r="U709" s="11" t="str">
        <f t="shared" si="63"/>
        <v/>
      </c>
      <c r="V709" s="11" t="str">
        <f t="shared" si="64"/>
        <v/>
      </c>
      <c r="W709" s="11" t="str">
        <f t="shared" si="65"/>
        <v/>
      </c>
    </row>
    <row r="710" spans="1:23">
      <c r="A710" s="11">
        <v>694</v>
      </c>
      <c r="B710" s="12">
        <v>46315</v>
      </c>
      <c r="C710" s="13" t="s">
        <v>1839</v>
      </c>
      <c r="D710" s="13" t="s">
        <v>100</v>
      </c>
      <c r="E710" s="13" t="s">
        <v>1840</v>
      </c>
      <c r="F710" s="13" t="s">
        <v>1841</v>
      </c>
      <c r="G710" s="11" t="s">
        <v>53</v>
      </c>
      <c r="H710" s="11" t="str">
        <f>IFERROR(VLOOKUP(G710,Paramètres!$B$6:$F$8,2,FALSE()),"")</f>
        <v>N/A</v>
      </c>
      <c r="I710" s="13" t="s">
        <v>130</v>
      </c>
      <c r="J710" s="11" t="s">
        <v>48</v>
      </c>
      <c r="K710" s="12">
        <v>46315</v>
      </c>
      <c r="L710" s="12">
        <v>46316</v>
      </c>
      <c r="M710" s="13"/>
      <c r="N710" s="14" t="s">
        <v>186</v>
      </c>
      <c r="O710" s="12"/>
      <c r="P710" s="11" t="str">
        <f t="shared" si="60"/>
        <v>-</v>
      </c>
      <c r="Q710" s="11" t="str">
        <f t="shared" ca="1" si="61"/>
        <v>-</v>
      </c>
      <c r="R710" s="11" t="str">
        <f>IFERROR(VLOOKUP(G710,Paramètres!$B$6:$F$8,3,FALSE()),"")</f>
        <v>N/A</v>
      </c>
      <c r="S710" s="11" t="str">
        <f t="shared" ca="1" si="62"/>
        <v>-</v>
      </c>
      <c r="T710" s="12"/>
      <c r="U710" s="11" t="str">
        <f t="shared" si="63"/>
        <v>-</v>
      </c>
      <c r="V710" s="11" t="str">
        <f t="shared" si="64"/>
        <v>-</v>
      </c>
      <c r="W710" s="11" t="str">
        <f t="shared" si="65"/>
        <v>Ne nécessite pas de réponse</v>
      </c>
    </row>
    <row r="711" spans="1:23">
      <c r="A711" s="11">
        <v>695</v>
      </c>
      <c r="B711" s="12">
        <v>46315</v>
      </c>
      <c r="C711" s="13" t="s">
        <v>1842</v>
      </c>
      <c r="D711" s="13" t="s">
        <v>345</v>
      </c>
      <c r="E711" s="13" t="s">
        <v>1843</v>
      </c>
      <c r="F711" s="13" t="s">
        <v>1844</v>
      </c>
      <c r="G711" s="11" t="s">
        <v>53</v>
      </c>
      <c r="H711" s="11" t="str">
        <f>IFERROR(VLOOKUP(G711,Paramètres!$B$6:$F$8,2,FALSE()),"")</f>
        <v>N/A</v>
      </c>
      <c r="I711" s="13" t="s">
        <v>85</v>
      </c>
      <c r="J711" s="11" t="s">
        <v>41</v>
      </c>
      <c r="K711" s="12">
        <v>46315</v>
      </c>
      <c r="L711" s="12">
        <v>46315</v>
      </c>
      <c r="M711" s="13" t="s">
        <v>56</v>
      </c>
      <c r="N711" s="14" t="s">
        <v>76</v>
      </c>
      <c r="O711" s="12"/>
      <c r="P711" s="11" t="str">
        <f t="shared" si="60"/>
        <v>-</v>
      </c>
      <c r="Q711" s="11" t="str">
        <f t="shared" ca="1" si="61"/>
        <v>-</v>
      </c>
      <c r="R711" s="11" t="str">
        <f>IFERROR(VLOOKUP(G711,Paramètres!$B$6:$F$8,3,FALSE()),"")</f>
        <v>N/A</v>
      </c>
      <c r="S711" s="11" t="str">
        <f t="shared" ca="1" si="62"/>
        <v>-</v>
      </c>
      <c r="T711" s="12"/>
      <c r="U711" s="11" t="str">
        <f t="shared" si="63"/>
        <v>-</v>
      </c>
      <c r="V711" s="11" t="str">
        <f t="shared" si="64"/>
        <v>-</v>
      </c>
      <c r="W711" s="11" t="str">
        <f t="shared" si="65"/>
        <v>Ne nécessite pas de réponse</v>
      </c>
    </row>
    <row r="712" spans="1:23">
      <c r="A712" s="11">
        <v>696</v>
      </c>
      <c r="B712" s="12">
        <v>46315</v>
      </c>
      <c r="C712" s="13" t="s">
        <v>1845</v>
      </c>
      <c r="D712" s="13" t="s">
        <v>115</v>
      </c>
      <c r="E712" s="13"/>
      <c r="F712" s="13" t="s">
        <v>1846</v>
      </c>
      <c r="G712" s="11" t="s">
        <v>84</v>
      </c>
      <c r="H712" s="11">
        <f>IFERROR(VLOOKUP(G712,Paramètres!$B$6:$F$8,2,FALSE()),"")</f>
        <v>5</v>
      </c>
      <c r="I712" s="13" t="s">
        <v>98</v>
      </c>
      <c r="J712" s="11" t="s">
        <v>41</v>
      </c>
      <c r="K712" s="12">
        <v>46315</v>
      </c>
      <c r="L712" s="12">
        <v>46316</v>
      </c>
      <c r="M712" s="13" t="s">
        <v>56</v>
      </c>
      <c r="N712" s="14" t="s">
        <v>87</v>
      </c>
      <c r="O712" s="12">
        <v>46321</v>
      </c>
      <c r="P712" s="11">
        <f t="shared" si="60"/>
        <v>6</v>
      </c>
      <c r="Q712" s="11" t="str">
        <f t="shared" ca="1" si="61"/>
        <v>-</v>
      </c>
      <c r="R712" s="11">
        <f>IFERROR(VLOOKUP(G712,Paramètres!$B$6:$F$8,3,FALSE()),"")</f>
        <v>2</v>
      </c>
      <c r="S712" s="11" t="str">
        <f t="shared" ca="1" si="62"/>
        <v>VERT</v>
      </c>
      <c r="T712" s="12"/>
      <c r="U712" s="11" t="str">
        <f t="shared" si="63"/>
        <v/>
      </c>
      <c r="V712" s="11" t="str">
        <f t="shared" si="64"/>
        <v/>
      </c>
      <c r="W712" s="11" t="str">
        <f t="shared" si="65"/>
        <v/>
      </c>
    </row>
    <row r="713" spans="1:23">
      <c r="A713" s="11">
        <v>697</v>
      </c>
      <c r="B713" s="12">
        <v>46315</v>
      </c>
      <c r="C713" s="13" t="s">
        <v>1847</v>
      </c>
      <c r="D713" s="13" t="s">
        <v>118</v>
      </c>
      <c r="E713" s="13" t="s">
        <v>1848</v>
      </c>
      <c r="F713" s="13" t="s">
        <v>1849</v>
      </c>
      <c r="G713" s="11" t="s">
        <v>39</v>
      </c>
      <c r="H713" s="11">
        <f>IFERROR(VLOOKUP(G713,Paramètres!$B$6:$F$8,2,FALSE()),"")</f>
        <v>5</v>
      </c>
      <c r="I713" s="13" t="s">
        <v>91</v>
      </c>
      <c r="J713" s="11" t="s">
        <v>41</v>
      </c>
      <c r="K713" s="12">
        <v>46316</v>
      </c>
      <c r="L713" s="12">
        <v>46316</v>
      </c>
      <c r="M713" s="13" t="s">
        <v>42</v>
      </c>
      <c r="N713" s="14" t="s">
        <v>76</v>
      </c>
      <c r="O713" s="12">
        <v>46321</v>
      </c>
      <c r="P713" s="11">
        <f t="shared" si="60"/>
        <v>6</v>
      </c>
      <c r="Q713" s="11" t="str">
        <f t="shared" ca="1" si="61"/>
        <v>-</v>
      </c>
      <c r="R713" s="11">
        <f>IFERROR(VLOOKUP(G713,Paramètres!$B$6:$F$8,3,FALSE()),"")</f>
        <v>2</v>
      </c>
      <c r="S713" s="11" t="str">
        <f t="shared" ca="1" si="62"/>
        <v>VERT</v>
      </c>
      <c r="T713" s="12"/>
      <c r="U713" s="11" t="str">
        <f t="shared" si="63"/>
        <v/>
      </c>
      <c r="V713" s="11" t="str">
        <f t="shared" si="64"/>
        <v/>
      </c>
      <c r="W713" s="11" t="str">
        <f t="shared" si="65"/>
        <v/>
      </c>
    </row>
    <row r="714" spans="1:23">
      <c r="A714" s="11">
        <v>698</v>
      </c>
      <c r="B714" s="12">
        <v>46315</v>
      </c>
      <c r="C714" s="13" t="s">
        <v>1850</v>
      </c>
      <c r="D714" s="13" t="s">
        <v>118</v>
      </c>
      <c r="E714" s="13" t="s">
        <v>1851</v>
      </c>
      <c r="F714" s="13" t="s">
        <v>1852</v>
      </c>
      <c r="G714" s="11" t="s">
        <v>53</v>
      </c>
      <c r="H714" s="11" t="str">
        <f>IFERROR(VLOOKUP(G714,Paramètres!$B$6:$F$8,2,FALSE()),"")</f>
        <v>N/A</v>
      </c>
      <c r="I714" s="13" t="s">
        <v>155</v>
      </c>
      <c r="J714" s="11" t="s">
        <v>48</v>
      </c>
      <c r="K714" s="12">
        <v>46315</v>
      </c>
      <c r="L714" s="12">
        <v>46316</v>
      </c>
      <c r="M714" s="13" t="s">
        <v>42</v>
      </c>
      <c r="N714" s="14" t="s">
        <v>50</v>
      </c>
      <c r="O714" s="12"/>
      <c r="P714" s="11" t="str">
        <f t="shared" si="60"/>
        <v>-</v>
      </c>
      <c r="Q714" s="11" t="str">
        <f t="shared" ca="1" si="61"/>
        <v>-</v>
      </c>
      <c r="R714" s="11" t="str">
        <f>IFERROR(VLOOKUP(G714,Paramètres!$B$6:$F$8,3,FALSE()),"")</f>
        <v>N/A</v>
      </c>
      <c r="S714" s="11" t="str">
        <f t="shared" ca="1" si="62"/>
        <v>-</v>
      </c>
      <c r="T714" s="12"/>
      <c r="U714" s="11" t="str">
        <f t="shared" si="63"/>
        <v>-</v>
      </c>
      <c r="V714" s="11" t="str">
        <f t="shared" si="64"/>
        <v>-</v>
      </c>
      <c r="W714" s="11" t="str">
        <f t="shared" si="65"/>
        <v>Ne nécessite pas de réponse</v>
      </c>
    </row>
    <row r="715" spans="1:23">
      <c r="A715" s="11">
        <v>699</v>
      </c>
      <c r="B715" s="12">
        <v>46316</v>
      </c>
      <c r="C715" s="13" t="s">
        <v>1853</v>
      </c>
      <c r="D715" s="13" t="s">
        <v>63</v>
      </c>
      <c r="E715" s="13"/>
      <c r="F715" s="13" t="s">
        <v>1854</v>
      </c>
      <c r="G715" s="11" t="s">
        <v>39</v>
      </c>
      <c r="H715" s="11">
        <f>IFERROR(VLOOKUP(G715,Paramètres!$B$6:$F$8,2,FALSE()),"")</f>
        <v>5</v>
      </c>
      <c r="I715" s="13" t="s">
        <v>240</v>
      </c>
      <c r="J715" s="11" t="s">
        <v>55</v>
      </c>
      <c r="K715" s="12">
        <v>46317</v>
      </c>
      <c r="L715" s="12">
        <v>46317</v>
      </c>
      <c r="M715" s="13" t="s">
        <v>49</v>
      </c>
      <c r="N715" s="14" t="s">
        <v>66</v>
      </c>
      <c r="O715" s="12"/>
      <c r="P715" s="11" t="str">
        <f t="shared" si="60"/>
        <v/>
      </c>
      <c r="Q715" s="11" t="str">
        <f t="shared" ca="1" si="61"/>
        <v>ROUGE</v>
      </c>
      <c r="R715" s="11">
        <f>IFERROR(VLOOKUP(G715,Paramètres!$B$6:$F$8,3,FALSE()),"")</f>
        <v>2</v>
      </c>
      <c r="S715" s="11" t="str">
        <f t="shared" ca="1" si="62"/>
        <v/>
      </c>
      <c r="T715" s="12"/>
      <c r="U715" s="11" t="str">
        <f t="shared" si="63"/>
        <v/>
      </c>
      <c r="V715" s="11" t="str">
        <f t="shared" si="64"/>
        <v/>
      </c>
      <c r="W715" s="11" t="str">
        <f t="shared" si="65"/>
        <v/>
      </c>
    </row>
    <row r="716" spans="1:23">
      <c r="A716" s="11">
        <v>700</v>
      </c>
      <c r="B716" s="12">
        <v>46316</v>
      </c>
      <c r="C716" s="13" t="s">
        <v>1855</v>
      </c>
      <c r="D716" s="13" t="s">
        <v>104</v>
      </c>
      <c r="E716" s="13" t="s">
        <v>1856</v>
      </c>
      <c r="F716" s="13" t="s">
        <v>1857</v>
      </c>
      <c r="G716" s="11" t="s">
        <v>39</v>
      </c>
      <c r="H716" s="11">
        <f>IFERROR(VLOOKUP(G716,Paramètres!$B$6:$F$8,2,FALSE()),"")</f>
        <v>5</v>
      </c>
      <c r="I716" s="13" t="s">
        <v>232</v>
      </c>
      <c r="J716" s="11" t="s">
        <v>55</v>
      </c>
      <c r="K716" s="12">
        <v>46317</v>
      </c>
      <c r="L716" s="12">
        <v>46317</v>
      </c>
      <c r="M716" s="13"/>
      <c r="N716" s="14" t="s">
        <v>57</v>
      </c>
      <c r="O716" s="12"/>
      <c r="P716" s="11" t="str">
        <f t="shared" si="60"/>
        <v/>
      </c>
      <c r="Q716" s="11" t="str">
        <f t="shared" ca="1" si="61"/>
        <v>ROUGE</v>
      </c>
      <c r="R716" s="11">
        <f>IFERROR(VLOOKUP(G716,Paramètres!$B$6:$F$8,3,FALSE()),"")</f>
        <v>2</v>
      </c>
      <c r="S716" s="11" t="str">
        <f t="shared" ca="1" si="62"/>
        <v/>
      </c>
      <c r="T716" s="12"/>
      <c r="U716" s="11" t="str">
        <f t="shared" si="63"/>
        <v/>
      </c>
      <c r="V716" s="11" t="str">
        <f t="shared" si="64"/>
        <v/>
      </c>
      <c r="W716" s="11" t="str">
        <f t="shared" si="65"/>
        <v/>
      </c>
    </row>
    <row r="717" spans="1:23">
      <c r="A717" s="11">
        <v>701</v>
      </c>
      <c r="B717" s="12">
        <v>46317</v>
      </c>
      <c r="C717" s="13" t="s">
        <v>1858</v>
      </c>
      <c r="D717" s="13" t="s">
        <v>115</v>
      </c>
      <c r="E717" s="13"/>
      <c r="F717" s="13" t="s">
        <v>1859</v>
      </c>
      <c r="G717" s="11" t="s">
        <v>39</v>
      </c>
      <c r="H717" s="11">
        <f>IFERROR(VLOOKUP(G717,Paramètres!$B$6:$F$8,2,FALSE()),"")</f>
        <v>5</v>
      </c>
      <c r="I717" s="13" t="s">
        <v>74</v>
      </c>
      <c r="J717" s="11" t="s">
        <v>41</v>
      </c>
      <c r="K717" s="12">
        <v>46317</v>
      </c>
      <c r="L717" s="12">
        <v>46317</v>
      </c>
      <c r="M717" s="13" t="s">
        <v>86</v>
      </c>
      <c r="N717" s="14" t="s">
        <v>76</v>
      </c>
      <c r="O717" s="12"/>
      <c r="P717" s="11" t="str">
        <f t="shared" si="60"/>
        <v/>
      </c>
      <c r="Q717" s="11" t="str">
        <f t="shared" ca="1" si="61"/>
        <v>ROUGE</v>
      </c>
      <c r="R717" s="11">
        <f>IFERROR(VLOOKUP(G717,Paramètres!$B$6:$F$8,3,FALSE()),"")</f>
        <v>2</v>
      </c>
      <c r="S717" s="11" t="str">
        <f t="shared" ca="1" si="62"/>
        <v/>
      </c>
      <c r="T717" s="12"/>
      <c r="U717" s="11" t="str">
        <f t="shared" si="63"/>
        <v/>
      </c>
      <c r="V717" s="11" t="str">
        <f t="shared" si="64"/>
        <v/>
      </c>
      <c r="W717" s="11" t="str">
        <f t="shared" si="65"/>
        <v/>
      </c>
    </row>
    <row r="718" spans="1:23" ht="28.5">
      <c r="A718" s="11">
        <v>702</v>
      </c>
      <c r="B718" s="12">
        <v>46317</v>
      </c>
      <c r="C718" s="13" t="s">
        <v>1860</v>
      </c>
      <c r="D718" s="13" t="s">
        <v>37</v>
      </c>
      <c r="E718" s="13" t="s">
        <v>1861</v>
      </c>
      <c r="F718" s="13" t="s">
        <v>1862</v>
      </c>
      <c r="G718" s="11" t="s">
        <v>84</v>
      </c>
      <c r="H718" s="11">
        <f>IFERROR(VLOOKUP(G718,Paramètres!$B$6:$F$8,2,FALSE()),"")</f>
        <v>5</v>
      </c>
      <c r="I718" s="13" t="s">
        <v>85</v>
      </c>
      <c r="J718" s="11" t="s">
        <v>41</v>
      </c>
      <c r="K718" s="12">
        <v>46318</v>
      </c>
      <c r="L718" s="12">
        <v>46321</v>
      </c>
      <c r="M718" s="13" t="s">
        <v>75</v>
      </c>
      <c r="N718" s="14" t="s">
        <v>76</v>
      </c>
      <c r="O718" s="12">
        <v>46321</v>
      </c>
      <c r="P718" s="11">
        <f t="shared" si="60"/>
        <v>4</v>
      </c>
      <c r="Q718" s="11" t="str">
        <f t="shared" ca="1" si="61"/>
        <v>-</v>
      </c>
      <c r="R718" s="11">
        <f>IFERROR(VLOOKUP(G718,Paramètres!$B$6:$F$8,3,FALSE()),"")</f>
        <v>2</v>
      </c>
      <c r="S718" s="11" t="str">
        <f t="shared" ca="1" si="62"/>
        <v>-</v>
      </c>
      <c r="T718" s="12">
        <v>46322</v>
      </c>
      <c r="U718" s="11">
        <f t="shared" si="63"/>
        <v>1</v>
      </c>
      <c r="V718" s="11">
        <f t="shared" si="64"/>
        <v>-2</v>
      </c>
      <c r="W718" s="11" t="str">
        <f t="shared" si="65"/>
        <v>Dans les délais</v>
      </c>
    </row>
    <row r="719" spans="1:23">
      <c r="A719" s="11">
        <v>703</v>
      </c>
      <c r="B719" s="12">
        <v>46317</v>
      </c>
      <c r="C719" s="13" t="s">
        <v>1863</v>
      </c>
      <c r="D719" s="13" t="s">
        <v>100</v>
      </c>
      <c r="E719" s="13" t="s">
        <v>1864</v>
      </c>
      <c r="F719" s="13" t="s">
        <v>1865</v>
      </c>
      <c r="G719" s="11" t="s">
        <v>39</v>
      </c>
      <c r="H719" s="11">
        <f>IFERROR(VLOOKUP(G719,Paramètres!$B$6:$F$8,2,FALSE()),"")</f>
        <v>5</v>
      </c>
      <c r="I719" s="13" t="s">
        <v>74</v>
      </c>
      <c r="J719" s="11" t="s">
        <v>41</v>
      </c>
      <c r="K719" s="12">
        <v>46317</v>
      </c>
      <c r="L719" s="12">
        <v>46317</v>
      </c>
      <c r="M719" s="13" t="s">
        <v>86</v>
      </c>
      <c r="N719" s="14" t="s">
        <v>76</v>
      </c>
      <c r="O719" s="12"/>
      <c r="P719" s="11" t="str">
        <f t="shared" si="60"/>
        <v/>
      </c>
      <c r="Q719" s="11" t="str">
        <f t="shared" ca="1" si="61"/>
        <v>ROUGE</v>
      </c>
      <c r="R719" s="11">
        <f>IFERROR(VLOOKUP(G719,Paramètres!$B$6:$F$8,3,FALSE()),"")</f>
        <v>2</v>
      </c>
      <c r="S719" s="11" t="str">
        <f t="shared" ca="1" si="62"/>
        <v/>
      </c>
      <c r="T719" s="12"/>
      <c r="U719" s="11" t="str">
        <f t="shared" si="63"/>
        <v/>
      </c>
      <c r="V719" s="11" t="str">
        <f t="shared" si="64"/>
        <v/>
      </c>
      <c r="W719" s="11" t="str">
        <f t="shared" si="65"/>
        <v/>
      </c>
    </row>
    <row r="720" spans="1:23">
      <c r="A720" s="11">
        <v>704</v>
      </c>
      <c r="B720" s="12">
        <v>46318</v>
      </c>
      <c r="C720" s="13" t="s">
        <v>1866</v>
      </c>
      <c r="D720" s="13" t="s">
        <v>63</v>
      </c>
      <c r="E720" s="13"/>
      <c r="F720" s="13" t="s">
        <v>1867</v>
      </c>
      <c r="G720" s="11" t="s">
        <v>84</v>
      </c>
      <c r="H720" s="11">
        <f>IFERROR(VLOOKUP(G720,Paramètres!$B$6:$F$8,2,FALSE()),"")</f>
        <v>5</v>
      </c>
      <c r="I720" s="13" t="s">
        <v>426</v>
      </c>
      <c r="J720" s="11" t="s">
        <v>41</v>
      </c>
      <c r="K720" s="12">
        <v>46318</v>
      </c>
      <c r="L720" s="12">
        <v>46318</v>
      </c>
      <c r="M720" s="13" t="s">
        <v>61</v>
      </c>
      <c r="N720" s="14" t="s">
        <v>87</v>
      </c>
      <c r="O720" s="12"/>
      <c r="P720" s="11" t="str">
        <f t="shared" si="60"/>
        <v/>
      </c>
      <c r="Q720" s="11" t="str">
        <f t="shared" ca="1" si="61"/>
        <v>JAUNE</v>
      </c>
      <c r="R720" s="11">
        <f>IFERROR(VLOOKUP(G720,Paramètres!$B$6:$F$8,3,FALSE()),"")</f>
        <v>2</v>
      </c>
      <c r="S720" s="11" t="str">
        <f t="shared" ca="1" si="62"/>
        <v/>
      </c>
      <c r="T720" s="12"/>
      <c r="U720" s="11" t="str">
        <f t="shared" si="63"/>
        <v/>
      </c>
      <c r="V720" s="11" t="str">
        <f t="shared" si="64"/>
        <v/>
      </c>
      <c r="W720" s="11" t="str">
        <f t="shared" si="65"/>
        <v/>
      </c>
    </row>
    <row r="721" spans="1:23">
      <c r="A721" s="11">
        <v>705</v>
      </c>
      <c r="B721" s="12">
        <v>46318</v>
      </c>
      <c r="C721" s="13" t="s">
        <v>1868</v>
      </c>
      <c r="D721" s="13" t="s">
        <v>145</v>
      </c>
      <c r="E721" s="13" t="s">
        <v>1869</v>
      </c>
      <c r="F721" s="13" t="s">
        <v>1870</v>
      </c>
      <c r="G721" s="11" t="s">
        <v>39</v>
      </c>
      <c r="H721" s="11">
        <f>IFERROR(VLOOKUP(G721,Paramètres!$B$6:$F$8,2,FALSE()),"")</f>
        <v>5</v>
      </c>
      <c r="I721" s="13" t="s">
        <v>54</v>
      </c>
      <c r="J721" s="11" t="s">
        <v>55</v>
      </c>
      <c r="K721" s="12">
        <v>46318</v>
      </c>
      <c r="L721" s="12">
        <v>46321</v>
      </c>
      <c r="M721" s="13" t="s">
        <v>61</v>
      </c>
      <c r="N721" s="14" t="s">
        <v>102</v>
      </c>
      <c r="O721" s="12"/>
      <c r="P721" s="11" t="str">
        <f t="shared" ref="P721:P784" si="66">IF(G721="Ne nécessite pas de réponse","-",IF(AND(ISNUMBER(B721),ISNUMBER(O721)),O721-B721,""))</f>
        <v/>
      </c>
      <c r="Q721" s="11" t="str">
        <f t="shared" ref="Q721:Q729" ca="1" si="67">IF(G721="Ne nécessite pas de réponse","-",IF(O721&lt;&gt;"","-",IF(OR(B721="",H721="",NOT(ISNUMBER(H721)),H721=0),"",IF((TODAY()-B721)/H721&lt;=0.5,"VERT",IF((TODAY()-B721)/H721&lt;=0.8,"JAUNE","ROUGE")))))</f>
        <v>JAUNE</v>
      </c>
      <c r="R721" s="11">
        <f>IFERROR(VLOOKUP(G721,Paramètres!$B$6:$F$8,3,FALSE()),"")</f>
        <v>2</v>
      </c>
      <c r="S721" s="11" t="str">
        <f t="shared" ref="S721:S784" ca="1" si="68">IF(G721="Ne nécessite pas de réponse","-",IF(O721="","",IF(T721&lt;&gt;"","-",IF(OR(R721="",NOT(ISNUMBER(R721)),R721=0),"",IF((TODAY()-O721)/R721&lt;=0.5,"VERT",IF((TODAY()-O721)/R721&lt;=0.8,"JAUNE","ROUGE"))))))</f>
        <v/>
      </c>
      <c r="T721" s="12"/>
      <c r="U721" s="11" t="str">
        <f t="shared" ref="U721:U784" si="69">IF(G721="Ne nécessite pas de réponse","-",IF(AND(ISNUMBER(O721),ISNUMBER(T721)),T721-O721,""))</f>
        <v/>
      </c>
      <c r="V721" s="11" t="str">
        <f t="shared" ref="V721:V729" si="70">IF(G721="Ne nécessite pas de réponse","-",IF(AND(ISNUMBER(T721),ISNUMBER(B721),ISNUMBER(H721),ISNUMBER(R721)),T721-(B721+H721+R721),""))</f>
        <v/>
      </c>
      <c r="W721" s="11" t="str">
        <f t="shared" ref="W721:W784" si="71">IF(G721="Ne nécessite pas de réponse","Ne nécessite pas de réponse",IF(T721="","",IF(V721&lt;=0,"Dans les délais","Hors délais")))</f>
        <v/>
      </c>
    </row>
    <row r="722" spans="1:23" ht="28.5">
      <c r="A722" s="11">
        <v>706</v>
      </c>
      <c r="B722" s="12">
        <v>46318</v>
      </c>
      <c r="C722" s="13" t="s">
        <v>1871</v>
      </c>
      <c r="D722" s="13" t="s">
        <v>100</v>
      </c>
      <c r="E722" s="13" t="s">
        <v>1872</v>
      </c>
      <c r="F722" s="13" t="s">
        <v>1873</v>
      </c>
      <c r="G722" s="11" t="s">
        <v>39</v>
      </c>
      <c r="H722" s="11">
        <f>IFERROR(VLOOKUP(G722,Paramètres!$B$6:$F$8,2,FALSE()),"")</f>
        <v>5</v>
      </c>
      <c r="I722" s="13" t="s">
        <v>91</v>
      </c>
      <c r="J722" s="11" t="s">
        <v>41</v>
      </c>
      <c r="K722" s="12">
        <v>46321</v>
      </c>
      <c r="L722" s="12">
        <v>46321</v>
      </c>
      <c r="M722" s="13" t="s">
        <v>75</v>
      </c>
      <c r="N722" s="14" t="s">
        <v>87</v>
      </c>
      <c r="O722" s="12"/>
      <c r="P722" s="11" t="str">
        <f t="shared" si="66"/>
        <v/>
      </c>
      <c r="Q722" s="11" t="str">
        <f t="shared" ca="1" si="67"/>
        <v>JAUNE</v>
      </c>
      <c r="R722" s="11">
        <f>IFERROR(VLOOKUP(G722,Paramètres!$B$6:$F$8,3,FALSE()),"")</f>
        <v>2</v>
      </c>
      <c r="S722" s="11" t="str">
        <f t="shared" ca="1" si="68"/>
        <v/>
      </c>
      <c r="T722" s="12"/>
      <c r="U722" s="11" t="str">
        <f t="shared" si="69"/>
        <v/>
      </c>
      <c r="V722" s="11" t="str">
        <f t="shared" si="70"/>
        <v/>
      </c>
      <c r="W722" s="11" t="str">
        <f t="shared" si="71"/>
        <v/>
      </c>
    </row>
    <row r="723" spans="1:23">
      <c r="A723" s="11">
        <v>707</v>
      </c>
      <c r="B723" s="12">
        <v>46318</v>
      </c>
      <c r="C723" s="13" t="s">
        <v>1874</v>
      </c>
      <c r="D723" s="13" t="s">
        <v>96</v>
      </c>
      <c r="E723" s="13" t="s">
        <v>1875</v>
      </c>
      <c r="F723" s="13" t="s">
        <v>1876</v>
      </c>
      <c r="G723" s="11" t="s">
        <v>53</v>
      </c>
      <c r="H723" s="11" t="str">
        <f>IFERROR(VLOOKUP(G723,Paramètres!$B$6:$F$8,2,FALSE()),"")</f>
        <v>N/A</v>
      </c>
      <c r="I723" s="13" t="s">
        <v>94</v>
      </c>
      <c r="J723" s="11" t="s">
        <v>55</v>
      </c>
      <c r="K723" s="12">
        <v>46321</v>
      </c>
      <c r="L723" s="12">
        <v>46322</v>
      </c>
      <c r="M723" s="13" t="s">
        <v>56</v>
      </c>
      <c r="N723" s="14" t="s">
        <v>102</v>
      </c>
      <c r="O723" s="12"/>
      <c r="P723" s="11" t="str">
        <f t="shared" si="66"/>
        <v>-</v>
      </c>
      <c r="Q723" s="11" t="str">
        <f t="shared" ca="1" si="67"/>
        <v>-</v>
      </c>
      <c r="R723" s="11" t="str">
        <f>IFERROR(VLOOKUP(G723,Paramètres!$B$6:$F$8,3,FALSE()),"")</f>
        <v>N/A</v>
      </c>
      <c r="S723" s="11" t="str">
        <f t="shared" ca="1" si="68"/>
        <v>-</v>
      </c>
      <c r="T723" s="12"/>
      <c r="U723" s="11" t="str">
        <f t="shared" si="69"/>
        <v>-</v>
      </c>
      <c r="V723" s="11" t="str">
        <f t="shared" si="70"/>
        <v>-</v>
      </c>
      <c r="W723" s="11" t="str">
        <f t="shared" si="71"/>
        <v>Ne nécessite pas de réponse</v>
      </c>
    </row>
    <row r="724" spans="1:23">
      <c r="A724" s="11">
        <v>708</v>
      </c>
      <c r="B724" s="12">
        <v>46318</v>
      </c>
      <c r="C724" s="13" t="s">
        <v>1877</v>
      </c>
      <c r="D724" s="13" t="s">
        <v>118</v>
      </c>
      <c r="E724" s="13"/>
      <c r="F724" s="13" t="s">
        <v>1878</v>
      </c>
      <c r="G724" s="11" t="s">
        <v>39</v>
      </c>
      <c r="H724" s="11">
        <f>IFERROR(VLOOKUP(G724,Paramètres!$B$6:$F$8,2,FALSE()),"")</f>
        <v>5</v>
      </c>
      <c r="I724" s="13" t="s">
        <v>85</v>
      </c>
      <c r="J724" s="11" t="s">
        <v>41</v>
      </c>
      <c r="K724" s="12">
        <v>46318</v>
      </c>
      <c r="L724" s="12">
        <v>46318</v>
      </c>
      <c r="M724" s="13" t="s">
        <v>61</v>
      </c>
      <c r="N724" s="14" t="s">
        <v>87</v>
      </c>
      <c r="O724" s="12"/>
      <c r="P724" s="11" t="str">
        <f t="shared" si="66"/>
        <v/>
      </c>
      <c r="Q724" s="11" t="str">
        <f t="shared" ca="1" si="67"/>
        <v>JAUNE</v>
      </c>
      <c r="R724" s="11">
        <f>IFERROR(VLOOKUP(G724,Paramètres!$B$6:$F$8,3,FALSE()),"")</f>
        <v>2</v>
      </c>
      <c r="S724" s="11" t="str">
        <f t="shared" ca="1" si="68"/>
        <v/>
      </c>
      <c r="T724" s="12"/>
      <c r="U724" s="11" t="str">
        <f t="shared" si="69"/>
        <v/>
      </c>
      <c r="V724" s="11" t="str">
        <f t="shared" si="70"/>
        <v/>
      </c>
      <c r="W724" s="11" t="str">
        <f t="shared" si="71"/>
        <v/>
      </c>
    </row>
    <row r="725" spans="1:23" ht="28.5">
      <c r="A725" s="11">
        <v>709</v>
      </c>
      <c r="B725" s="12">
        <v>46321</v>
      </c>
      <c r="C725" s="13" t="s">
        <v>1879</v>
      </c>
      <c r="D725" s="13" t="s">
        <v>59</v>
      </c>
      <c r="E725" s="13"/>
      <c r="F725" s="13" t="s">
        <v>1880</v>
      </c>
      <c r="G725" s="11" t="s">
        <v>53</v>
      </c>
      <c r="H725" s="11" t="str">
        <f>IFERROR(VLOOKUP(G725,Paramètres!$B$6:$F$8,2,FALSE()),"")</f>
        <v>N/A</v>
      </c>
      <c r="I725" s="13" t="s">
        <v>130</v>
      </c>
      <c r="J725" s="11" t="s">
        <v>48</v>
      </c>
      <c r="K725" s="12">
        <v>46322</v>
      </c>
      <c r="L725" s="12">
        <v>46322</v>
      </c>
      <c r="M725" s="13" t="s">
        <v>75</v>
      </c>
      <c r="N725" s="14" t="s">
        <v>186</v>
      </c>
      <c r="O725" s="12"/>
      <c r="P725" s="11" t="str">
        <f t="shared" si="66"/>
        <v>-</v>
      </c>
      <c r="Q725" s="11" t="str">
        <f t="shared" ca="1" si="67"/>
        <v>-</v>
      </c>
      <c r="R725" s="11" t="str">
        <f>IFERROR(VLOOKUP(G725,Paramètres!$B$6:$F$8,3,FALSE()),"")</f>
        <v>N/A</v>
      </c>
      <c r="S725" s="11" t="str">
        <f t="shared" ca="1" si="68"/>
        <v>-</v>
      </c>
      <c r="T725" s="12"/>
      <c r="U725" s="11" t="str">
        <f t="shared" si="69"/>
        <v>-</v>
      </c>
      <c r="V725" s="11" t="str">
        <f t="shared" si="70"/>
        <v>-</v>
      </c>
      <c r="W725" s="11" t="str">
        <f t="shared" si="71"/>
        <v>Ne nécessite pas de réponse</v>
      </c>
    </row>
    <row r="726" spans="1:23">
      <c r="A726" s="11">
        <v>710</v>
      </c>
      <c r="B726" s="12">
        <v>46321</v>
      </c>
      <c r="C726" s="13" t="s">
        <v>1881</v>
      </c>
      <c r="D726" s="13" t="s">
        <v>248</v>
      </c>
      <c r="E726" s="13"/>
      <c r="F726" s="13" t="s">
        <v>1882</v>
      </c>
      <c r="G726" s="11" t="s">
        <v>39</v>
      </c>
      <c r="H726" s="11">
        <f>IFERROR(VLOOKUP(G726,Paramètres!$B$6:$F$8,2,FALSE()),"")</f>
        <v>5</v>
      </c>
      <c r="I726" s="13" t="s">
        <v>94</v>
      </c>
      <c r="J726" s="11" t="s">
        <v>55</v>
      </c>
      <c r="K726" s="12">
        <v>46321</v>
      </c>
      <c r="L726" s="12">
        <v>46322</v>
      </c>
      <c r="M726" s="13" t="s">
        <v>86</v>
      </c>
      <c r="N726" s="14" t="s">
        <v>102</v>
      </c>
      <c r="O726" s="12"/>
      <c r="P726" s="11" t="str">
        <f t="shared" si="66"/>
        <v/>
      </c>
      <c r="Q726" s="11" t="str">
        <f t="shared" ca="1" si="67"/>
        <v>VERT</v>
      </c>
      <c r="R726" s="11">
        <f>IFERROR(VLOOKUP(G726,Paramètres!$B$6:$F$8,3,FALSE()),"")</f>
        <v>2</v>
      </c>
      <c r="S726" s="11" t="str">
        <f t="shared" ca="1" si="68"/>
        <v/>
      </c>
      <c r="T726" s="12"/>
      <c r="U726" s="11" t="str">
        <f t="shared" si="69"/>
        <v/>
      </c>
      <c r="V726" s="11" t="str">
        <f t="shared" si="70"/>
        <v/>
      </c>
      <c r="W726" s="11" t="str">
        <f t="shared" si="71"/>
        <v/>
      </c>
    </row>
    <row r="727" spans="1:23">
      <c r="A727" s="11">
        <v>711</v>
      </c>
      <c r="B727" s="12">
        <v>46322</v>
      </c>
      <c r="C727" s="13" t="s">
        <v>1883</v>
      </c>
      <c r="D727" s="13" t="s">
        <v>37</v>
      </c>
      <c r="E727" s="13"/>
      <c r="F727" s="13" t="s">
        <v>1884</v>
      </c>
      <c r="G727" s="11" t="s">
        <v>84</v>
      </c>
      <c r="H727" s="11">
        <f>IFERROR(VLOOKUP(G727,Paramètres!$B$6:$F$8,2,FALSE()),"")</f>
        <v>5</v>
      </c>
      <c r="I727" s="13" t="s">
        <v>185</v>
      </c>
      <c r="J727" s="11" t="s">
        <v>48</v>
      </c>
      <c r="K727" s="12">
        <v>46323</v>
      </c>
      <c r="L727" s="12">
        <v>46322</v>
      </c>
      <c r="M727" s="13" t="s">
        <v>86</v>
      </c>
      <c r="N727" s="14" t="s">
        <v>121</v>
      </c>
      <c r="O727" s="12"/>
      <c r="P727" s="11" t="str">
        <f t="shared" si="66"/>
        <v/>
      </c>
      <c r="Q727" s="11" t="str">
        <f t="shared" ca="1" si="67"/>
        <v>VERT</v>
      </c>
      <c r="R727" s="11">
        <f>IFERROR(VLOOKUP(G727,Paramètres!$B$6:$F$8,3,FALSE()),"")</f>
        <v>2</v>
      </c>
      <c r="S727" s="11" t="str">
        <f t="shared" ca="1" si="68"/>
        <v/>
      </c>
      <c r="T727" s="12"/>
      <c r="U727" s="11" t="str">
        <f t="shared" si="69"/>
        <v/>
      </c>
      <c r="V727" s="11" t="str">
        <f t="shared" si="70"/>
        <v/>
      </c>
      <c r="W727" s="11" t="str">
        <f t="shared" si="71"/>
        <v/>
      </c>
    </row>
    <row r="728" spans="1:23">
      <c r="A728" s="11">
        <v>712</v>
      </c>
      <c r="B728" s="12">
        <v>46322</v>
      </c>
      <c r="C728" s="13" t="s">
        <v>1885</v>
      </c>
      <c r="D728" s="13" t="s">
        <v>230</v>
      </c>
      <c r="E728" s="13" t="s">
        <v>1886</v>
      </c>
      <c r="F728" s="13" t="s">
        <v>1887</v>
      </c>
      <c r="G728" s="11" t="s">
        <v>39</v>
      </c>
      <c r="H728" s="11">
        <f>IFERROR(VLOOKUP(G728,Paramètres!$B$6:$F$8,2,FALSE()),"")</f>
        <v>5</v>
      </c>
      <c r="I728" s="13" t="s">
        <v>120</v>
      </c>
      <c r="J728" s="11" t="s">
        <v>48</v>
      </c>
      <c r="K728" s="12">
        <v>46323</v>
      </c>
      <c r="L728" s="12">
        <v>46322</v>
      </c>
      <c r="M728" s="13"/>
      <c r="N728" s="14" t="s">
        <v>121</v>
      </c>
      <c r="O728" s="12"/>
      <c r="P728" s="11" t="str">
        <f t="shared" si="66"/>
        <v/>
      </c>
      <c r="Q728" s="11" t="str">
        <f t="shared" ca="1" si="67"/>
        <v>VERT</v>
      </c>
      <c r="R728" s="11">
        <f>IFERROR(VLOOKUP(G728,Paramètres!$B$6:$F$8,3,FALSE()),"")</f>
        <v>2</v>
      </c>
      <c r="S728" s="11" t="str">
        <f t="shared" ca="1" si="68"/>
        <v/>
      </c>
      <c r="T728" s="12"/>
      <c r="U728" s="11" t="str">
        <f t="shared" si="69"/>
        <v/>
      </c>
      <c r="V728" s="11" t="str">
        <f t="shared" si="70"/>
        <v/>
      </c>
      <c r="W728" s="11" t="str">
        <f t="shared" si="71"/>
        <v/>
      </c>
    </row>
    <row r="729" spans="1:23" ht="28.5">
      <c r="A729" s="11">
        <v>713</v>
      </c>
      <c r="B729" s="12">
        <v>46322</v>
      </c>
      <c r="C729" s="13" t="s">
        <v>1888</v>
      </c>
      <c r="D729" s="13" t="s">
        <v>178</v>
      </c>
      <c r="E729" s="13" t="s">
        <v>1889</v>
      </c>
      <c r="F729" s="13" t="s">
        <v>1890</v>
      </c>
      <c r="G729" s="11" t="s">
        <v>39</v>
      </c>
      <c r="H729" s="11">
        <f>IFERROR(VLOOKUP(G729,Paramètres!$B$6:$F$8,2,FALSE()),"")</f>
        <v>5</v>
      </c>
      <c r="I729" s="13" t="s">
        <v>228</v>
      </c>
      <c r="J729" s="11" t="s">
        <v>55</v>
      </c>
      <c r="K729" s="12">
        <v>46322</v>
      </c>
      <c r="L729" s="12">
        <v>46322</v>
      </c>
      <c r="M729" s="13" t="s">
        <v>75</v>
      </c>
      <c r="N729" s="14" t="s">
        <v>57</v>
      </c>
      <c r="O729" s="12"/>
      <c r="P729" s="11" t="str">
        <f t="shared" si="66"/>
        <v/>
      </c>
      <c r="Q729" s="11" t="str">
        <f t="shared" ca="1" si="67"/>
        <v>VERT</v>
      </c>
      <c r="R729" s="11">
        <f>IFERROR(VLOOKUP(G729,Paramètres!$B$6:$F$8,3,FALSE()),"")</f>
        <v>2</v>
      </c>
      <c r="S729" s="11" t="str">
        <f t="shared" ca="1" si="68"/>
        <v/>
      </c>
      <c r="T729" s="12"/>
      <c r="U729" s="11" t="str">
        <f t="shared" si="69"/>
        <v/>
      </c>
      <c r="V729" s="11" t="str">
        <f t="shared" si="70"/>
        <v/>
      </c>
      <c r="W729" s="11" t="str">
        <f t="shared" si="71"/>
        <v/>
      </c>
    </row>
  </sheetData>
  <autoFilter ref="A16:W729" xr:uid="{00000000-0009-0000-0000-000000000000}"/>
  <mergeCells count="13">
    <mergeCell ref="P12:Q12"/>
    <mergeCell ref="P13:Q13"/>
    <mergeCell ref="B14:S14"/>
    <mergeCell ref="P7:Q7"/>
    <mergeCell ref="P8:Q8"/>
    <mergeCell ref="P9:Q9"/>
    <mergeCell ref="P10:Q10"/>
    <mergeCell ref="P11:Q11"/>
    <mergeCell ref="P2:R2"/>
    <mergeCell ref="P3:Q3"/>
    <mergeCell ref="P4:Q4"/>
    <mergeCell ref="P5:Q5"/>
    <mergeCell ref="P6:Q6"/>
  </mergeCells>
  <conditionalFormatting sqref="Q17:Q1029">
    <cfRule type="expression" dxfId="7" priority="2">
      <formula>$Q17="VERT"</formula>
    </cfRule>
    <cfRule type="expression" dxfId="6" priority="3">
      <formula>$Q17="JAUNE"</formula>
    </cfRule>
    <cfRule type="expression" dxfId="5" priority="4">
      <formula>$Q17="ROUGE"</formula>
    </cfRule>
  </conditionalFormatting>
  <conditionalFormatting sqref="S17:S1029">
    <cfRule type="expression" dxfId="4" priority="5">
      <formula>$S17="VERT"</formula>
    </cfRule>
    <cfRule type="expression" dxfId="3" priority="6">
      <formula>$S17="JAUNE"</formula>
    </cfRule>
    <cfRule type="expression" dxfId="2" priority="7">
      <formula>$S17="ROUGE"</formula>
    </cfRule>
  </conditionalFormatting>
  <conditionalFormatting sqref="W17:W1029">
    <cfRule type="expression" dxfId="1" priority="8">
      <formula>$W17="Dans les délais"</formula>
    </cfRule>
    <cfRule type="expression" dxfId="0" priority="9">
      <formula>$W17="Hors délais"</formula>
    </cfRule>
  </conditionalFormatting>
  <dataValidations count="2">
    <dataValidation type="list" allowBlank="1" sqref="G17:G1029" xr:uid="{00000000-0002-0000-0000-000000000000}">
      <formula1>"Ordinaire,Confidentiel,Ne nécessite pas de réponse"</formula1>
      <formula2>0</formula2>
    </dataValidation>
    <dataValidation type="list" allowBlank="1" sqref="J17:J1029" xr:uid="{00000000-0002-0000-0000-000001000000}">
      <formula1>"DRI,DP,DSSE"</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F24"/>
  <sheetViews>
    <sheetView zoomScaleNormal="100" workbookViewId="0">
      <selection activeCell="G11" sqref="G11"/>
    </sheetView>
  </sheetViews>
  <sheetFormatPr baseColWidth="10" defaultColWidth="8.73046875" defaultRowHeight="14.25"/>
  <cols>
    <col min="1" max="1" width="3" style="7" customWidth="1"/>
    <col min="2" max="2" width="22" style="7" customWidth="1"/>
    <col min="3" max="3" width="32" style="7" customWidth="1"/>
    <col min="4" max="4" width="55" style="7" customWidth="1"/>
  </cols>
  <sheetData>
    <row r="2" spans="2:6" ht="30" customHeight="1">
      <c r="B2" s="3" t="s">
        <v>1891</v>
      </c>
      <c r="C2" s="3"/>
      <c r="D2" s="3"/>
      <c r="E2" s="3"/>
      <c r="F2" s="3"/>
    </row>
    <row r="4" spans="2:6" ht="15" customHeight="1">
      <c r="B4" s="3" t="s">
        <v>1892</v>
      </c>
      <c r="C4" s="3"/>
      <c r="D4" s="3"/>
      <c r="E4" s="3"/>
      <c r="F4" s="3"/>
    </row>
    <row r="5" spans="2:6" ht="14.25" customHeight="1">
      <c r="B5" s="15" t="s">
        <v>1893</v>
      </c>
      <c r="C5" s="16" t="s">
        <v>1894</v>
      </c>
      <c r="D5" s="16" t="s">
        <v>1895</v>
      </c>
      <c r="E5" s="16" t="s">
        <v>1896</v>
      </c>
      <c r="F5" s="15" t="s">
        <v>1897</v>
      </c>
    </row>
    <row r="6" spans="2:6" ht="14.25" customHeight="1">
      <c r="B6" s="17" t="s">
        <v>39</v>
      </c>
      <c r="C6" s="17">
        <v>5</v>
      </c>
      <c r="D6" s="17">
        <v>2</v>
      </c>
      <c r="E6" s="17">
        <f>C6+D6</f>
        <v>7</v>
      </c>
      <c r="F6" s="18" t="s">
        <v>1898</v>
      </c>
    </row>
    <row r="7" spans="2:6" ht="14.25" customHeight="1">
      <c r="B7" s="17" t="s">
        <v>84</v>
      </c>
      <c r="C7" s="17">
        <v>5</v>
      </c>
      <c r="D7" s="17">
        <v>2</v>
      </c>
      <c r="E7" s="17">
        <f>C7+D7</f>
        <v>7</v>
      </c>
      <c r="F7" s="18" t="s">
        <v>1899</v>
      </c>
    </row>
    <row r="8" spans="2:6" ht="14.25" customHeight="1">
      <c r="B8" s="17" t="s">
        <v>53</v>
      </c>
      <c r="C8" s="17" t="s">
        <v>1900</v>
      </c>
      <c r="D8" s="17" t="s">
        <v>1900</v>
      </c>
      <c r="E8" s="17" t="s">
        <v>1900</v>
      </c>
      <c r="F8" s="18" t="s">
        <v>1901</v>
      </c>
    </row>
    <row r="9" spans="2:6" ht="14.25" customHeight="1">
      <c r="B9" s="17"/>
      <c r="C9" s="17"/>
      <c r="D9" s="18"/>
    </row>
    <row r="10" spans="2:6" ht="15" customHeight="1">
      <c r="B10" s="3" t="s">
        <v>1902</v>
      </c>
      <c r="C10" s="3"/>
      <c r="D10" s="3"/>
      <c r="E10" s="3"/>
      <c r="F10" s="3"/>
    </row>
    <row r="11" spans="2:6" ht="15" customHeight="1">
      <c r="B11" s="15" t="s">
        <v>1903</v>
      </c>
      <c r="C11" s="2" t="s">
        <v>1904</v>
      </c>
      <c r="D11" s="2"/>
      <c r="E11" s="2"/>
      <c r="F11" s="2"/>
    </row>
    <row r="12" spans="2:6" ht="14.25" customHeight="1">
      <c r="B12" s="17" t="s">
        <v>55</v>
      </c>
      <c r="C12" s="1" t="s">
        <v>1905</v>
      </c>
      <c r="D12" s="1"/>
      <c r="E12" s="1"/>
      <c r="F12" s="1"/>
    </row>
    <row r="13" spans="2:6" ht="14.25" customHeight="1">
      <c r="B13" s="17" t="s">
        <v>48</v>
      </c>
      <c r="C13" s="1" t="s">
        <v>1906</v>
      </c>
      <c r="D13" s="1"/>
      <c r="E13" s="1"/>
      <c r="F13" s="1"/>
    </row>
    <row r="14" spans="2:6" ht="14.25" customHeight="1">
      <c r="B14" s="17" t="s">
        <v>41</v>
      </c>
      <c r="C14" s="1" t="s">
        <v>1907</v>
      </c>
      <c r="D14" s="1"/>
      <c r="E14" s="1"/>
      <c r="F14" s="1"/>
    </row>
    <row r="15" spans="2:6" ht="14.25" customHeight="1">
      <c r="B15" s="19"/>
      <c r="C15" s="18"/>
    </row>
    <row r="16" spans="2:6" ht="15" customHeight="1">
      <c r="B16" s="3" t="s">
        <v>1908</v>
      </c>
      <c r="C16" s="3"/>
      <c r="D16" s="3"/>
      <c r="E16" s="3"/>
      <c r="F16" s="3"/>
    </row>
    <row r="17" spans="2:6" ht="15" customHeight="1">
      <c r="B17" s="15" t="s">
        <v>1909</v>
      </c>
      <c r="C17" s="15" t="s">
        <v>1910</v>
      </c>
      <c r="D17" s="2" t="s">
        <v>1911</v>
      </c>
      <c r="E17" s="2"/>
      <c r="F17" s="2"/>
    </row>
    <row r="18" spans="2:6" ht="14.25" customHeight="1">
      <c r="B18" s="17" t="s">
        <v>1912</v>
      </c>
      <c r="C18" s="17" t="s">
        <v>1913</v>
      </c>
      <c r="D18" s="1" t="s">
        <v>1914</v>
      </c>
      <c r="E18" s="1"/>
      <c r="F18" s="1"/>
    </row>
    <row r="19" spans="2:6" ht="14.25" customHeight="1">
      <c r="B19" s="17" t="s">
        <v>1915</v>
      </c>
      <c r="C19" s="17" t="s">
        <v>1916</v>
      </c>
      <c r="D19" s="1" t="s">
        <v>1917</v>
      </c>
      <c r="E19" s="1"/>
      <c r="F19" s="1"/>
    </row>
    <row r="20" spans="2:6" ht="14.25" customHeight="1">
      <c r="B20" s="17" t="s">
        <v>1918</v>
      </c>
      <c r="C20" s="17" t="s">
        <v>1919</v>
      </c>
      <c r="D20" s="1" t="s">
        <v>1920</v>
      </c>
      <c r="E20" s="1"/>
      <c r="F20" s="1"/>
    </row>
    <row r="21" spans="2:6" ht="14.25" customHeight="1">
      <c r="B21" s="20"/>
      <c r="C21" s="21"/>
      <c r="D21" s="22"/>
    </row>
    <row r="22" spans="2:6" ht="15" customHeight="1">
      <c r="B22" s="3" t="s">
        <v>1921</v>
      </c>
      <c r="C22" s="3"/>
      <c r="D22" s="3"/>
      <c r="E22" s="3"/>
      <c r="F22" s="3"/>
    </row>
    <row r="23" spans="2:6" ht="30" customHeight="1">
      <c r="B23" s="1" t="s">
        <v>1922</v>
      </c>
      <c r="C23" s="1"/>
      <c r="D23" s="1"/>
      <c r="E23" s="1"/>
      <c r="F23" s="1"/>
    </row>
    <row r="24" spans="2:6" ht="30" customHeight="1">
      <c r="B24" s="1" t="s">
        <v>1923</v>
      </c>
      <c r="C24" s="1"/>
      <c r="D24" s="1"/>
      <c r="E24" s="1"/>
      <c r="F24" s="1"/>
    </row>
  </sheetData>
  <mergeCells count="15">
    <mergeCell ref="D19:F19"/>
    <mergeCell ref="D20:F20"/>
    <mergeCell ref="B22:F22"/>
    <mergeCell ref="B23:F23"/>
    <mergeCell ref="B24:F24"/>
    <mergeCell ref="C13:F13"/>
    <mergeCell ref="C14:F14"/>
    <mergeCell ref="B16:F16"/>
    <mergeCell ref="D17:F17"/>
    <mergeCell ref="D18:F18"/>
    <mergeCell ref="B2:F2"/>
    <mergeCell ref="B4:F4"/>
    <mergeCell ref="B10:F10"/>
    <mergeCell ref="C11:F11"/>
    <mergeCell ref="C12:F1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Suivi Courrier</vt:lpstr>
      <vt:lpstr>Paramètres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dc:description/>
  <cp:lastModifiedBy>Djibril WANE</cp:lastModifiedBy>
  <cp:revision>0</cp:revision>
  <dcterms:created xsi:type="dcterms:W3CDTF">2026-04-29T15:34:00Z</dcterms:created>
  <dcterms:modified xsi:type="dcterms:W3CDTF">2026-10-27T17:29:27Z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1</vt:i4>
  </property>
  <property fmtid="{D5CDD505-2E9C-101B-9397-08002B2CF9AE}" pid="3" name="ICV">
    <vt:lpwstr>0D8199B4FE27480295CC236C1E61312D_13</vt:lpwstr>
  </property>
  <property fmtid="{D5CDD505-2E9C-101B-9397-08002B2CF9AE}" pid="4" name="KSOProductBuildVer">
    <vt:lpwstr>1036-12.1.0.28032</vt:lpwstr>
  </property>
</Properties>
</file>